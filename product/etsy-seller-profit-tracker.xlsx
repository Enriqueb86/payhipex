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d33b9c406849a3" /></Relationships>
</file>

<file path=xl/workbook.xml><?xml version="1.0" encoding="utf-8"?>
<x:workbook xmlns:x="http://schemas.openxmlformats.org/spreadsheetml/2006/main">
  <x:sheets>
    <x:sheet xmlns:r="http://schemas.openxmlformats.org/officeDocument/2006/relationships" name="START HERE" sheetId="1" r:id="R11d9937d8dd54745"/>
    <x:sheet xmlns:r="http://schemas.openxmlformats.org/officeDocument/2006/relationships" name="SETTINGS" sheetId="2" r:id="R0f3d01ec0b3a43ea"/>
    <x:sheet xmlns:r="http://schemas.openxmlformats.org/officeDocument/2006/relationships" name="ORDERS" sheetId="3" r:id="Rede0936cd27640a1"/>
    <x:sheet xmlns:r="http://schemas.openxmlformats.org/officeDocument/2006/relationships" name="DASHBOARD" sheetId="4" r:id="R899caf0bc46f46d7"/>
    <x:sheet xmlns:r="http://schemas.openxmlformats.org/officeDocument/2006/relationships" name="EXAMPLE" sheetId="5" r:id="Racc43f0052df48c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Red]($#,##0.00);-"/>
    <x:numFmt numFmtId="201" formatCode="0.0%;[Red](0.0%);-"/>
    <x:numFmt numFmtId="202" formatCode="yyyy-mm-dd"/>
    <x:numFmt numFmtId="203" formatCode="mm/dd/yy"/>
    <x:numFmt numFmtId="204" formatCode="mmmm yyyy"/>
    <x:numFmt numFmtId="205" formatCode="0"/>
  </x:numFmts>
  <x:fonts count="11">
    <x:font>
      <x:sz val="11"/>
      <x:name val="Carlito"/>
    </x:font>
    <x:font>
      <x:sz val="10"/>
      <x:color rgb="FF1F2937"/>
      <x:name val="Arial"/>
    </x:font>
    <x:font>
      <x:b/>
      <x:sz val="16"/>
      <x:color rgb="FF17324D"/>
      <x:name val="Arial"/>
    </x:font>
    <x:font>
      <x:b/>
      <x:sz val="11"/>
      <x:color rgb="FF7C4A03"/>
      <x:name val="Arial"/>
    </x:font>
    <x:font>
      <x:b/>
      <x:sz val="10"/>
      <x:color rgb="FF17324D"/>
      <x:name val="Arial"/>
    </x:font>
    <x:font>
      <x:b/>
      <x:sz val="10"/>
      <x:color rgb="FFFFFFFF"/>
      <x:name val="Arial"/>
    </x:font>
    <x:font>
      <x:i/>
      <x:sz val="10"/>
      <x:color rgb="FF64748B"/>
      <x:name val="Arial"/>
    </x:font>
    <x:font>
      <x:b/>
      <x:sz val="10"/>
      <x:color rgb="FF7C4A03"/>
      <x:name val="Arial"/>
    </x:font>
    <x:font>
      <x:sz val="9"/>
      <x:color rgb="FF2C6EAA"/>
      <x:name val="Arial"/>
    </x:font>
    <x:font>
      <x:b/>
      <x:sz val="10"/>
      <x:color rgb="FF166534"/>
      <x:name val="Arial"/>
    </x:font>
    <x:font>
      <x:b/>
      <x:sz val="14"/>
      <x:color rgb="FF17324D"/>
      <x:name val="Arial"/>
    </x:font>
  </x:fonts>
  <x:fills count="8">
    <x:fill>
      <x:patternFill patternType="none"/>
    </x:fill>
    <x:fill>
      <x:patternFill patternType="gray125"/>
    </x:fill>
    <x:fill>
      <x:patternFill patternType="solid">
        <x:fgColor rgb="FFFFF3CD"/>
      </x:patternFill>
    </x:fill>
    <x:fill>
      <x:patternFill patternType="solid">
        <x:fgColor rgb="FFEAF3FA"/>
      </x:patternFill>
    </x:fill>
    <x:fill>
      <x:patternFill patternType="solid">
        <x:fgColor rgb="FF17324D"/>
      </x:patternFill>
    </x:fill>
    <x:fill>
      <x:patternFill patternType="solid">
        <x:fgColor rgb="FFF8FAFC"/>
      </x:patternFill>
    </x:fill>
    <x:fill>
      <x:patternFill patternType="solid">
        <x:fgColor rgb="FFE8F5EE"/>
      </x:patternFill>
    </x:fill>
    <x:fill>
      <x:patternFill patternType="solid">
        <x:fgColor rgb="FFFFFFFF"/>
      </x:patternFill>
    </x:fill>
  </x:fills>
  <x:borders count="35">
    <x:border/>
    <x:border>
      <x:bottom style="thin">
        <x:color rgb="FF2C6EAA"/>
      </x:bottom>
    </x:border>
    <x:border>
      <x:left style="thin">
        <x:color rgb="FFD69E2E"/>
      </x:left>
      <x:top style="thin">
        <x:color rgb="FFD69E2E"/>
      </x:top>
    </x:border>
    <x:border>
      <x:top style="thin">
        <x:color rgb="FFD69E2E"/>
      </x:top>
    </x:border>
    <x:border>
      <x:right style="thin">
        <x:color rgb="FFD69E2E"/>
      </x:right>
      <x:top style="thin">
        <x:color rgb="FFD69E2E"/>
      </x:top>
    </x:border>
    <x:border>
      <x:left style="thin">
        <x:color rgb="FFD69E2E"/>
      </x:left>
    </x:border>
    <x:border>
      <x:right style="thin">
        <x:color rgb="FFD69E2E"/>
      </x:right>
    </x:border>
    <x:border>
      <x:left style="thin">
        <x:color rgb="FFD69E2E"/>
      </x:left>
      <x:bottom style="thin">
        <x:color rgb="FFD69E2E"/>
      </x:bottom>
    </x:border>
    <x:border>
      <x:bottom style="thin">
        <x:color rgb="FFD69E2E"/>
      </x:bottom>
    </x:border>
    <x:border>
      <x:right style="thin">
        <x:color rgb="FFD69E2E"/>
      </x:right>
      <x:bottom style="thin">
        <x:color rgb="FFD69E2E"/>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left style="thin">
        <x:color rgb="FFCBD5E1"/>
      </x:left>
      <x:right style="thin">
        <x:color rgb="FFCBD5E1"/>
      </x:righ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top style="thin">
        <x:color rgb="FFCBD5E1"/>
      </x:top>
    </x:border>
    <x:border>
      <x:left style="thin">
        <x:color rgb="FFCBD5E1"/>
      </x:left>
    </x:border>
    <x:border>
      <x:right style="thin">
        <x:color rgb="FFCBD5E1"/>
      </x:right>
    </x:border>
    <x:border>
      <x:bottom style="thin">
        <x:color rgb="FFCBD5E1"/>
      </x:bottom>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E2E8F0"/>
      </x:bottom>
    </x:border>
    <x:border>
      <x:left style="thin">
        <x:color rgb="FFFFFFFF"/>
      </x:left>
      <x:right style="thin">
        <x:color rgb="FFFFFFFF"/>
      </x:right>
      <x:bottom style="thin">
        <x:color rgb="FFE2E8F0"/>
      </x:bottom>
    </x:border>
    <x:border>
      <x:top style="thin">
        <x:color rgb="FFE2E8F0"/>
      </x:top>
      <x:bottom style="thin">
        <x:color rgb="FFE2E8F0"/>
      </x:bottom>
    </x:border>
    <x:border>
      <x:right style="thin">
        <x:color rgb="FFFFFFFF"/>
      </x:right>
      <x:top style="thin">
        <x:color rgb="FFE2E8F0"/>
      </x:top>
      <x:bottom style="thin">
        <x:color rgb="FFE2E8F0"/>
      </x:bottom>
    </x:border>
    <x:border>
      <x:top style="thin">
        <x:color rgb="FFE2E8F0"/>
      </x:top>
    </x:border>
    <x:border>
      <x:right style="thin">
        <x:color rgb="FFFFFFFF"/>
      </x:right>
      <x:top style="thin">
        <x:color rgb="FFE2E8F0"/>
      </x:top>
    </x:border>
    <x:border>
      <x:left style="thin">
        <x:color rgb="FFD69E2E"/>
      </x:left>
      <x:right style="thin">
        <x:color rgb="FFD69E2E"/>
      </x:right>
      <x:top style="thin">
        <x:color rgb="FFD69E2E"/>
      </x:top>
      <x:bottom style="thin">
        <x:color rgb="FFD69E2E"/>
      </x:bottom>
    </x:border>
    <x:border>
      <x:left style="thin">
        <x:color rgb="FFCBD5E1"/>
      </x:left>
      <x:right style="thin">
        <x:color rgb="FFCBD5E1"/>
      </x:right>
    </x:border>
  </x:borders>
  <x:cellStyleXfs count="1">
    <x:xf numFmtId="0" fontId="0" fillId="0" borderId="0"/>
  </x:cellStyleXfs>
  <x:cellXfs count="17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3" fillId="2" borderId="5" xfId="0" applyNumberFormat="1" applyFont="1" applyFill="1" applyBorder="1" applyAlignment="1">
      <x:alignment vertical="center"/>
    </x:xf>
    <x:xf numFmtId="0" fontId="3" fillId="2" borderId="6" xfId="0" applyNumberFormat="1" applyFont="1" applyFill="1" applyBorder="1" applyAlignment="1">
      <x:alignment vertical="center"/>
    </x:xf>
    <x:xf numFmtId="0" fontId="3" fillId="2" borderId="7" xfId="0" applyNumberFormat="1" applyFont="1" applyFill="1" applyBorder="1" applyAlignment="1">
      <x:alignment vertical="center"/>
    </x:xf>
    <x:xf numFmtId="0" fontId="3" fillId="2" borderId="8" xfId="0" applyNumberFormat="1" applyFont="1" applyFill="1" applyBorder="1" applyAlignment="1">
      <x:alignment vertical="center"/>
    </x:xf>
    <x:xf numFmtId="0" fontId="3" fillId="2" borderId="9" xfId="0" applyNumberFormat="1" applyFont="1" applyFill="1" applyBorder="1" applyAlignment="1">
      <x:alignment vertical="center"/>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3" fillId="2" borderId="5"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6" xfId="0" applyNumberFormat="1" applyFont="1" applyFill="1" applyBorder="1" applyAlignment="1">
      <x:alignment vertical="center" wrapText="1"/>
    </x:xf>
    <x:xf numFmtId="0" fontId="3" fillId="2" borderId="7" xfId="0" applyNumberFormat="1" applyFont="1" applyFill="1" applyBorder="1" applyAlignment="1">
      <x:alignment vertical="center" wrapText="1"/>
    </x:xf>
    <x:xf numFmtId="0" fontId="3" fillId="2" borderId="8" xfId="0" applyNumberFormat="1" applyFont="1" applyFill="1" applyBorder="1" applyAlignment="1">
      <x:alignment vertical="center" wrapText="1"/>
    </x:xf>
    <x:xf numFmtId="0" fontId="3" fillId="2" borderId="9"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10" xfId="0" applyNumberFormat="1" applyFont="1" applyFill="1" applyBorder="1" applyAlignment="1">
      <x:alignment vertical="center"/>
    </x:xf>
    <x:xf numFmtId="0" fontId="4" fillId="3" borderId="11" xfId="0" applyNumberFormat="1" applyFont="1" applyFill="1" applyBorder="1" applyAlignment="1">
      <x:alignment vertical="center"/>
    </x:xf>
    <x:xf numFmtId="0" fontId="4" fillId="3" borderId="12" xfId="0" applyNumberFormat="1" applyFont="1" applyFill="1" applyBorder="1" applyAlignment="1">
      <x:alignment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13" xfId="0" applyNumberFormat="1" applyFont="1" applyFill="1" applyBorder="1" applyAlignment="1">
      <x:alignment vertical="center"/>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0" borderId="12"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0" borderId="17" xfId="0" applyNumberFormat="1" applyFont="1" applyFill="1" applyBorder="1" applyAlignment="1">
      <x:alignment vertical="center"/>
    </x:xf>
    <x:xf numFmtId="0" fontId="1" fillId="0" borderId="18" xfId="0" applyNumberFormat="1" applyFont="1" applyFill="1" applyBorder="1" applyAlignment="1">
      <x:alignment vertical="center"/>
    </x:xf>
    <x:xf numFmtId="0" fontId="1" fillId="0" borderId="19" xfId="0" applyNumberFormat="1" applyFont="1" applyFill="1" applyBorder="1" applyAlignment="1">
      <x:alignment vertical="center"/>
    </x:xf>
    <x:xf numFmtId="0" fontId="4" fillId="0" borderId="13" xfId="0" applyNumberFormat="1" applyFont="1" applyFill="1" applyBorder="1" applyAlignment="1">
      <x:alignment vertical="center"/>
    </x:xf>
    <x:xf numFmtId="0" fontId="4" fillId="0" borderId="12" xfId="0" applyNumberFormat="1" applyFont="1" applyFill="1" applyBorder="1" applyAlignment="1">
      <x:alignment vertical="center"/>
    </x:xf>
    <x:xf numFmtId="0" fontId="4" fillId="0" borderId="17" xfId="0" applyNumberFormat="1" applyFont="1" applyFill="1" applyBorder="1" applyAlignment="1">
      <x:alignment vertical="center"/>
    </x:xf>
    <x:xf numFmtId="0" fontId="4" fillId="0" borderId="14" xfId="0" applyNumberFormat="1" applyFont="1" applyFill="1" applyBorder="1" applyAlignment="1">
      <x:alignment vertical="center"/>
    </x:xf>
    <x:xf numFmtId="0" fontId="4" fillId="0" borderId="16" xfId="0" applyNumberFormat="1" applyFont="1" applyFill="1" applyBorder="1" applyAlignment="1">
      <x:alignment vertical="center"/>
    </x:xf>
    <x:xf numFmtId="0" fontId="4" fillId="0" borderId="18" xfId="0" applyNumberFormat="1" applyFont="1" applyFill="1" applyBorder="1" applyAlignment="1">
      <x:alignment vertical="center"/>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6" fillId="5" borderId="19" xfId="0" applyNumberFormat="1" applyFont="1" applyFill="1" applyBorder="1" applyAlignment="1">
      <x:alignment vertical="center"/>
    </x:xf>
    <x:xf numFmtId="0" fontId="6" fillId="5" borderId="20" xfId="0" applyNumberFormat="1" applyFont="1" applyFill="1" applyBorder="1" applyAlignment="1">
      <x:alignment vertical="center"/>
    </x:xf>
    <x:xf numFmtId="0" fontId="6" fillId="5" borderId="17" xfId="0" applyNumberFormat="1" applyFont="1" applyFill="1" applyBorder="1" applyAlignment="1">
      <x:alignment vertical="center"/>
    </x:xf>
    <x:xf numFmtId="0" fontId="6" fillId="5" borderId="21" xfId="0" applyNumberFormat="1" applyFont="1" applyFill="1" applyBorder="1" applyAlignment="1">
      <x:alignment vertical="center"/>
    </x:xf>
    <x:xf numFmtId="0" fontId="6" fillId="5" borderId="22" xfId="0" applyNumberFormat="1" applyFont="1" applyFill="1" applyBorder="1" applyAlignment="1">
      <x:alignment vertical="center"/>
    </x:xf>
    <x:xf numFmtId="0" fontId="6" fillId="5" borderId="15" xfId="0" applyNumberFormat="1" applyFont="1" applyFill="1" applyBorder="1" applyAlignment="1">
      <x:alignment vertical="center"/>
    </x:xf>
    <x:xf numFmtId="0" fontId="6" fillId="5" borderId="23" xfId="0" applyNumberFormat="1" applyFont="1" applyFill="1" applyBorder="1" applyAlignment="1">
      <x:alignment vertical="center"/>
    </x:xf>
    <x:xf numFmtId="0" fontId="6" fillId="5" borderId="13" xfId="0" applyNumberFormat="1" applyFont="1" applyFill="1" applyBorder="1" applyAlignment="1">
      <x:alignment vertical="center"/>
    </x:xf>
    <x:xf numFmtId="0" fontId="6" fillId="5" borderId="19" xfId="0" applyNumberFormat="1" applyFont="1" applyFill="1" applyBorder="1" applyAlignment="1">
      <x:alignment vertical="center" wrapText="1"/>
    </x:xf>
    <x:xf numFmtId="0" fontId="6" fillId="5" borderId="20" xfId="0" applyNumberFormat="1" applyFont="1" applyFill="1" applyBorder="1" applyAlignment="1">
      <x:alignment vertical="center" wrapText="1"/>
    </x:xf>
    <x:xf numFmtId="0" fontId="6" fillId="5" borderId="17" xfId="0" applyNumberFormat="1" applyFont="1" applyFill="1" applyBorder="1" applyAlignment="1">
      <x:alignment vertical="center" wrapText="1"/>
    </x:xf>
    <x:xf numFmtId="0" fontId="6" fillId="5" borderId="21"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22" xfId="0" applyNumberFormat="1" applyFont="1" applyFill="1" applyBorder="1" applyAlignment="1">
      <x:alignment vertical="center" wrapText="1"/>
    </x:xf>
    <x:xf numFmtId="0" fontId="6" fillId="5" borderId="15" xfId="0" applyNumberFormat="1" applyFont="1" applyFill="1" applyBorder="1" applyAlignment="1">
      <x:alignment vertical="center" wrapText="1"/>
    </x:xf>
    <x:xf numFmtId="0" fontId="6" fillId="5" borderId="23"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7" fillId="2" borderId="0" xfId="0" applyNumberFormat="1" applyFont="1" applyFill="1" applyBorder="1" applyAlignment="1">
      <x:alignment vertical="center"/>
    </x:xf>
    <x:xf numFmtId="0" fontId="7" fillId="2" borderId="0" xfId="0" applyNumberFormat="1" applyFont="1" applyFill="1" applyBorder="1" applyAlignment="1">
      <x:alignment vertical="center" wrapText="1"/>
    </x:xf>
    <x:xf numFmtId="0" fontId="5" fillId="4" borderId="24" xfId="0" applyNumberFormat="1" applyFont="1" applyFill="1" applyBorder="1" applyAlignment="1">
      <x:alignment vertical="center"/>
    </x:xf>
    <x:xf numFmtId="0" fontId="5" fillId="4" borderId="25" xfId="0" applyNumberFormat="1" applyFont="1" applyFill="1" applyBorder="1" applyAlignment="1">
      <x:alignment vertical="center"/>
    </x:xf>
    <x:xf numFmtId="0" fontId="5" fillId="4" borderId="26" xfId="0" applyNumberFormat="1" applyFont="1" applyFill="1" applyBorder="1" applyAlignment="1">
      <x:alignment vertical="center"/>
    </x:xf>
    <x:xf numFmtId="0" fontId="5" fillId="4" borderId="24" xfId="0" applyNumberFormat="1" applyFont="1" applyFill="1" applyBorder="1" applyAlignment="1">
      <x:alignment vertical="center" wrapText="1"/>
    </x:xf>
    <x:xf numFmtId="0" fontId="5" fillId="4" borderId="25" xfId="0" applyNumberFormat="1" applyFont="1" applyFill="1" applyBorder="1" applyAlignment="1">
      <x:alignment vertical="center" wrapText="1"/>
    </x:xf>
    <x:xf numFmtId="0" fontId="5" fillId="4" borderId="26" xfId="0" applyNumberFormat="1" applyFont="1" applyFill="1" applyBorder="1" applyAlignment="1">
      <x:alignment vertical="center" wrapText="1"/>
    </x:xf>
    <x:xf numFmtId="0" fontId="5" fillId="4" borderId="24" xfId="0" applyNumberFormat="1" applyFont="1" applyFill="1" applyBorder="1" applyAlignment="1">
      <x:alignment horizontal="center" vertical="center" wrapText="1"/>
    </x:xf>
    <x:xf numFmtId="0" fontId="5" fillId="4" borderId="25" xfId="0" applyNumberFormat="1" applyFont="1" applyFill="1" applyBorder="1" applyAlignment="1">
      <x:alignment horizontal="center" vertical="center" wrapText="1"/>
    </x:xf>
    <x:xf numFmtId="0" fontId="5" fillId="4" borderId="26" xfId="0" applyNumberFormat="1" applyFont="1" applyFill="1" applyBorder="1" applyAlignment="1">
      <x:alignment horizontal="center" vertical="center" wrapText="1"/>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1" fontId="4"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23" xfId="0" applyNumberFormat="1" applyFont="1" applyFill="1" applyBorder="1" applyAlignment="1">
      <x:alignment vertical="center"/>
    </x:xf>
    <x:xf numFmtId="200" fontId="1" fillId="2" borderId="23" xfId="0" applyNumberFormat="1" applyFont="1" applyFill="1" applyBorder="1" applyAlignment="1">
      <x:alignment vertical="center"/>
    </x:xf>
    <x:xf numFmtId="202" fontId="1" fillId="0" borderId="23" xfId="0" applyNumberFormat="1" applyFont="1" applyFill="1" applyBorder="1" applyAlignment="1">
      <x:alignment vertical="center"/>
    </x:xf>
    <x:xf numFmtId="0" fontId="1" fillId="0" borderId="11" xfId="0" applyNumberFormat="1" applyFont="1" applyFill="1" applyBorder="1" applyAlignment="1">
      <x:alignment vertical="center"/>
    </x:xf>
    <x:xf numFmtId="201" fontId="1" fillId="2" borderId="11" xfId="0" applyNumberFormat="1" applyFont="1" applyFill="1" applyBorder="1" applyAlignment="1">
      <x:alignment vertical="center"/>
    </x:xf>
    <x:xf numFmtId="202" fontId="1" fillId="0" borderId="11" xfId="0" applyNumberFormat="1" applyFont="1" applyFill="1" applyBorder="1" applyAlignment="1">
      <x:alignment vertical="center"/>
    </x:xf>
    <x:xf numFmtId="200" fontId="1" fillId="2" borderId="11" xfId="0" applyNumberFormat="1" applyFont="1" applyFill="1" applyBorder="1" applyAlignment="1">
      <x:alignment vertical="center"/>
    </x:xf>
    <x:xf numFmtId="0" fontId="1" fillId="2" borderId="11" xfId="0" applyNumberFormat="1" applyFont="1" applyFill="1" applyBorder="1" applyAlignment="1">
      <x:alignment vertical="center"/>
    </x:xf>
    <x:xf numFmtId="201" fontId="4" fillId="3" borderId="11" xfId="0" applyNumberFormat="1" applyFont="1" applyFill="1" applyBorder="1" applyAlignment="1">
      <x:alignment vertical="center"/>
    </x:xf>
    <x:xf numFmtId="0" fontId="1" fillId="0" borderId="20" xfId="0" applyNumberFormat="1" applyFont="1" applyFill="1" applyBorder="1" applyAlignment="1">
      <x:alignment vertical="center"/>
    </x:xf>
    <x:xf numFmtId="201" fontId="1" fillId="2" borderId="20" xfId="0" applyNumberFormat="1" applyFont="1" applyFill="1" applyBorder="1" applyAlignment="1">
      <x:alignment vertical="center"/>
    </x:xf>
    <x:xf numFmtId="202" fontId="1" fillId="0" borderId="20" xfId="0" applyNumberFormat="1" applyFont="1" applyFill="1" applyBorder="1" applyAlignment="1">
      <x:alignment vertical="center"/>
    </x:xf>
    <x:xf numFmtId="0" fontId="8" fillId="0" borderId="23" xfId="0" applyNumberFormat="1" applyFont="1" applyFill="1" applyBorder="1" applyAlignment="1">
      <x:alignment vertical="center"/>
    </x:xf>
    <x:xf numFmtId="0" fontId="8" fillId="0" borderId="11" xfId="0" applyNumberFormat="1" applyFont="1" applyFill="1" applyBorder="1" applyAlignment="1">
      <x:alignment vertical="center"/>
    </x:xf>
    <x:xf numFmtId="0" fontId="8" fillId="0" borderId="20" xfId="0" applyNumberFormat="1" applyFont="1" applyFill="1" applyBorder="1" applyAlignment="1">
      <x:alignment vertical="center"/>
    </x:xf>
    <x:xf numFmtId="0" fontId="1" fillId="0" borderId="23"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1" fillId="0" borderId="20" xfId="0" applyNumberFormat="1" applyFont="1" applyFill="1" applyBorder="1" applyAlignment="1">
      <x:alignment vertical="center" wrapText="1"/>
    </x:xf>
    <x:xf numFmtId="203" fontId="1" fillId="2"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5" fillId="4" borderId="27" xfId="0" applyNumberFormat="1" applyFont="1" applyFill="1" applyBorder="1" applyAlignment="1">
      <x:alignment horizontal="center" vertical="center" wrapText="1"/>
    </x:xf>
    <x:xf numFmtId="0" fontId="5" fillId="4" borderId="28" xfId="0" applyNumberFormat="1" applyFont="1" applyFill="1" applyBorder="1" applyAlignment="1">
      <x:alignment horizontal="center" vertical="center" wrapText="1"/>
    </x:xf>
    <x:xf numFmtId="203" fontId="1" fillId="2" borderId="29" xfId="0" applyNumberFormat="1" applyFont="1" applyFill="1" applyBorder="1" applyAlignment="1">
      <x:alignment vertical="center"/>
    </x:xf>
    <x:xf numFmtId="0" fontId="1" fillId="2" borderId="29" xfId="0" applyNumberFormat="1" applyFont="1" applyFill="1" applyBorder="1" applyAlignment="1">
      <x:alignment vertical="center"/>
    </x:xf>
    <x:xf numFmtId="200" fontId="1" fillId="2" borderId="29" xfId="0" applyNumberFormat="1" applyFont="1" applyFill="1" applyBorder="1" applyAlignment="1">
      <x:alignment vertical="center"/>
    </x:xf>
    <x:xf numFmtId="200" fontId="1" fillId="3" borderId="29" xfId="0" applyNumberFormat="1" applyFont="1" applyFill="1" applyBorder="1" applyAlignment="1">
      <x:alignment vertical="center"/>
    </x:xf>
    <x:xf numFmtId="201" fontId="1" fillId="3" borderId="29" xfId="0" applyNumberFormat="1" applyFont="1" applyFill="1" applyBorder="1" applyAlignment="1">
      <x:alignment vertical="center"/>
    </x:xf>
    <x:xf numFmtId="0" fontId="1" fillId="2" borderId="30" xfId="0" applyNumberFormat="1" applyFont="1" applyFill="1" applyBorder="1" applyAlignment="1">
      <x:alignment vertical="center"/>
    </x:xf>
    <x:xf numFmtId="203" fontId="1" fillId="2" borderId="31" xfId="0" applyNumberFormat="1" applyFont="1" applyFill="1" applyBorder="1" applyAlignment="1">
      <x:alignment vertical="center"/>
    </x:xf>
    <x:xf numFmtId="0" fontId="1" fillId="2" borderId="31" xfId="0" applyNumberFormat="1" applyFont="1" applyFill="1" applyBorder="1" applyAlignment="1">
      <x:alignment vertical="center"/>
    </x:xf>
    <x:xf numFmtId="200" fontId="1" fillId="2" borderId="31" xfId="0" applyNumberFormat="1" applyFont="1" applyFill="1" applyBorder="1" applyAlignment="1">
      <x:alignment vertical="center"/>
    </x:xf>
    <x:xf numFmtId="200" fontId="1" fillId="3" borderId="31" xfId="0" applyNumberFormat="1" applyFont="1" applyFill="1" applyBorder="1" applyAlignment="1">
      <x:alignment vertical="center"/>
    </x:xf>
    <x:xf numFmtId="201" fontId="1" fillId="3" borderId="31" xfId="0" applyNumberFormat="1" applyFont="1" applyFill="1" applyBorder="1" applyAlignment="1">
      <x:alignment vertical="center"/>
    </x:xf>
    <x:xf numFmtId="0" fontId="1" fillId="2" borderId="32" xfId="0" applyNumberFormat="1" applyFont="1" applyFill="1" applyBorder="1" applyAlignment="1">
      <x:alignment vertical="center"/>
    </x:xf>
    <x:xf numFmtId="0" fontId="1" fillId="6" borderId="0" xfId="0" applyNumberFormat="1" applyFont="1" applyFill="1" applyBorder="1" applyAlignment="1">
      <x:alignment vertical="center"/>
    </x:xf>
    <x:xf numFmtId="0" fontId="9" fillId="6"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3" fontId="1" fillId="0" borderId="29" xfId="0" applyNumberFormat="1" applyFont="1" applyFill="1" applyBorder="1" applyAlignment="1">
      <x:alignment vertical="center"/>
    </x:xf>
    <x:xf numFmtId="0" fontId="1" fillId="0" borderId="29" xfId="0" applyNumberFormat="1" applyFont="1" applyFill="1" applyBorder="1" applyAlignment="1">
      <x:alignment vertical="center"/>
    </x:xf>
    <x:xf numFmtId="200" fontId="1" fillId="0" borderId="29" xfId="0" applyNumberFormat="1" applyFont="1" applyFill="1" applyBorder="1" applyAlignment="1">
      <x:alignment vertical="center"/>
    </x:xf>
    <x:xf numFmtId="0" fontId="1" fillId="0" borderId="30" xfId="0" applyNumberFormat="1" applyFont="1" applyFill="1" applyBorder="1" applyAlignment="1">
      <x:alignment vertical="center"/>
    </x:xf>
    <x:xf numFmtId="203" fontId="1" fillId="0" borderId="31" xfId="0" applyNumberFormat="1" applyFont="1" applyFill="1" applyBorder="1" applyAlignment="1">
      <x:alignment vertical="center"/>
    </x:xf>
    <x:xf numFmtId="0" fontId="1" fillId="0" borderId="31" xfId="0" applyNumberFormat="1" applyFont="1" applyFill="1" applyBorder="1" applyAlignment="1">
      <x:alignment vertical="center"/>
    </x:xf>
    <x:xf numFmtId="200" fontId="1" fillId="0" borderId="31" xfId="0" applyNumberFormat="1" applyFont="1" applyFill="1" applyBorder="1" applyAlignment="1">
      <x:alignment vertical="center"/>
    </x:xf>
    <x:xf numFmtId="0" fontId="1" fillId="0" borderId="32" xfId="0" applyNumberFormat="1" applyFont="1" applyFill="1" applyBorder="1" applyAlignment="1">
      <x:alignment vertical="center"/>
    </x:xf>
    <x:xf numFmtId="203" fontId="1" fillId="5" borderId="29" xfId="0" applyNumberFormat="1" applyFont="1" applyFill="1" applyBorder="1" applyAlignment="1">
      <x:alignment vertical="center"/>
    </x:xf>
    <x:xf numFmtId="0" fontId="1" fillId="5" borderId="29" xfId="0" applyNumberFormat="1" applyFont="1" applyFill="1" applyBorder="1" applyAlignment="1">
      <x:alignment vertical="center"/>
    </x:xf>
    <x:xf numFmtId="200" fontId="1" fillId="5" borderId="29" xfId="0" applyNumberFormat="1" applyFont="1" applyFill="1" applyBorder="1" applyAlignment="1">
      <x:alignment vertical="center"/>
    </x:xf>
    <x:xf numFmtId="203" fontId="1" fillId="5" borderId="31" xfId="0" applyNumberFormat="1" applyFont="1" applyFill="1" applyBorder="1" applyAlignment="1">
      <x:alignment vertical="center"/>
    </x:xf>
    <x:xf numFmtId="0" fontId="1" fillId="5" borderId="31" xfId="0" applyNumberFormat="1" applyFont="1" applyFill="1" applyBorder="1" applyAlignment="1">
      <x:alignment vertical="center"/>
    </x:xf>
    <x:xf numFmtId="200" fontId="1" fillId="5" borderId="31" xfId="0" applyNumberFormat="1" applyFont="1" applyFill="1" applyBorder="1" applyAlignment="1">
      <x:alignment vertical="center"/>
    </x:xf>
    <x:xf numFmtId="0" fontId="1" fillId="5" borderId="30" xfId="0" applyNumberFormat="1" applyFont="1" applyFill="1" applyBorder="1" applyAlignment="1">
      <x:alignment vertical="center"/>
    </x:xf>
    <x:xf numFmtId="0" fontId="1" fillId="5" borderId="32"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33" xfId="0" applyNumberFormat="1" applyFont="1" applyFill="1" applyBorder="1" applyAlignment="1">
      <x:alignment vertical="center"/>
    </x:xf>
    <x:xf numFmtId="204" fontId="4" fillId="2" borderId="33" xfId="0" applyNumberFormat="1" applyFont="1" applyFill="1" applyBorder="1" applyAlignment="1">
      <x:alignment vertical="center"/>
    </x:xf>
    <x:xf numFmtId="204" fontId="4" fillId="2" borderId="33" xfId="0" applyNumberFormat="1" applyFont="1" applyFill="1" applyBorder="1" applyAlignment="1">
      <x:alignment horizontal="center" vertical="center"/>
    </x:xf>
    <x:xf numFmtId="0" fontId="6" fillId="0" borderId="0" xfId="0" applyNumberFormat="1" applyFont="1" applyFill="1" applyBorder="1" applyAlignment="1">
      <x:alignment vertical="center"/>
    </x:xf>
    <x:xf numFmtId="0" fontId="4" fillId="3" borderId="18" xfId="0" applyNumberFormat="1" applyFont="1" applyFill="1" applyBorder="1" applyAlignment="1">
      <x:alignment vertical="center"/>
    </x:xf>
    <x:xf numFmtId="0" fontId="4" fillId="3" borderId="34" xfId="0" applyNumberFormat="1" applyFont="1" applyFill="1" applyBorder="1" applyAlignment="1">
      <x:alignment vertical="center"/>
    </x:xf>
    <x:xf numFmtId="0" fontId="4" fillId="3" borderId="14" xfId="0" applyNumberFormat="1" applyFont="1" applyFill="1" applyBorder="1" applyAlignment="1">
      <x:alignment vertical="center"/>
    </x:xf>
    <x:xf numFmtId="0" fontId="1" fillId="7" borderId="0" xfId="0" applyNumberFormat="1" applyFont="1" applyFill="1" applyBorder="1" applyAlignment="1">
      <x:alignment vertical="center"/>
    </x:xf>
    <x:xf numFmtId="0" fontId="10" fillId="7" borderId="0" xfId="0" applyNumberFormat="1" applyFont="1" applyFill="1" applyBorder="1" applyAlignment="1">
      <x:alignment vertical="center"/>
    </x:xf>
    <x:xf numFmtId="0" fontId="10" fillId="7" borderId="18" xfId="0" applyNumberFormat="1" applyFont="1" applyFill="1" applyBorder="1" applyAlignment="1">
      <x:alignment vertical="center"/>
    </x:xf>
    <x:xf numFmtId="0" fontId="10" fillId="7" borderId="34" xfId="0" applyNumberFormat="1" applyFont="1" applyFill="1" applyBorder="1" applyAlignment="1">
      <x:alignment vertical="center"/>
    </x:xf>
    <x:xf numFmtId="0" fontId="10" fillId="7" borderId="14" xfId="0" applyNumberFormat="1" applyFont="1" applyFill="1" applyBorder="1" applyAlignment="1">
      <x:alignment vertical="center"/>
    </x:xf>
    <x:xf numFmtId="0" fontId="10" fillId="7" borderId="18" xfId="0" applyNumberFormat="1" applyFont="1" applyFill="1" applyBorder="1" applyAlignment="1">
      <x:alignment horizontal="right" vertical="center"/>
    </x:xf>
    <x:xf numFmtId="0" fontId="10" fillId="7" borderId="34" xfId="0" applyNumberFormat="1" applyFont="1" applyFill="1" applyBorder="1" applyAlignment="1">
      <x:alignment horizontal="right" vertical="center"/>
    </x:xf>
    <x:xf numFmtId="0" fontId="10" fillId="7" borderId="14" xfId="0" applyNumberFormat="1" applyFont="1" applyFill="1" applyBorder="1" applyAlignment="1">
      <x:alignment horizontal="right" vertical="center"/>
    </x:xf>
    <x:xf numFmtId="200" fontId="10" fillId="7" borderId="18" xfId="0" applyNumberFormat="1" applyFont="1" applyFill="1" applyBorder="1" applyAlignment="1">
      <x:alignment horizontal="right" vertical="center"/>
    </x:xf>
    <x:xf numFmtId="200" fontId="10" fillId="7" borderId="34" xfId="0" applyNumberFormat="1" applyFont="1" applyFill="1" applyBorder="1" applyAlignment="1">
      <x:alignment horizontal="right" vertical="center"/>
    </x:xf>
    <x:xf numFmtId="201" fontId="10" fillId="7" borderId="14" xfId="0" applyNumberFormat="1" applyFont="1" applyFill="1" applyBorder="1" applyAlignment="1">
      <x:alignment horizontal="right" vertical="center"/>
    </x:xf>
    <x:xf numFmtId="205" fontId="10" fillId="7" borderId="18" xfId="0" applyNumberFormat="1" applyFont="1" applyFill="1" applyBorder="1" applyAlignment="1">
      <x:alignment horizontal="right" vertical="center"/>
    </x:xf>
    <x:xf numFmtId="205" fontId="10" fillId="7" borderId="34"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0" fontId="7" fillId="2" borderId="2" xfId="0" applyNumberFormat="1" applyFont="1" applyFill="1" applyBorder="1" applyAlignment="1">
      <x:alignment vertical="center"/>
    </x:xf>
    <x:xf numFmtId="0" fontId="7" fillId="2" borderId="3" xfId="0" applyNumberFormat="1" applyFont="1" applyFill="1" applyBorder="1" applyAlignment="1">
      <x:alignment vertical="center"/>
    </x:xf>
    <x:xf numFmtId="0" fontId="7" fillId="2" borderId="4" xfId="0" applyNumberFormat="1" applyFont="1" applyFill="1" applyBorder="1" applyAlignment="1">
      <x:alignment vertical="center"/>
    </x:xf>
    <x:xf numFmtId="0" fontId="7" fillId="2" borderId="5" xfId="0" applyNumberFormat="1" applyFont="1" applyFill="1" applyBorder="1" applyAlignment="1">
      <x:alignment vertical="center"/>
    </x:xf>
    <x:xf numFmtId="0" fontId="7" fillId="2" borderId="6" xfId="0" applyNumberFormat="1" applyFont="1" applyFill="1" applyBorder="1" applyAlignment="1">
      <x:alignment vertical="center"/>
    </x:xf>
    <x:xf numFmtId="0" fontId="7" fillId="2" borderId="7" xfId="0" applyNumberFormat="1" applyFont="1" applyFill="1" applyBorder="1" applyAlignment="1">
      <x:alignment vertical="center"/>
    </x:xf>
    <x:xf numFmtId="0" fontId="7" fillId="2" borderId="8" xfId="0" applyNumberFormat="1" applyFont="1" applyFill="1" applyBorder="1" applyAlignment="1">
      <x:alignment vertical="center"/>
    </x:xf>
    <x:xf numFmtId="0" fontId="7" fillId="2" borderId="9" xfId="0" applyNumberFormat="1" applyFont="1" applyFill="1" applyBorder="1" applyAlignment="1">
      <x:alignment vertical="center"/>
    </x:xf>
    <x:xf numFmtId="0" fontId="7" fillId="2" borderId="2"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7" fillId="2" borderId="4" xfId="0" applyNumberFormat="1" applyFont="1" applyFill="1" applyBorder="1" applyAlignment="1">
      <x:alignment vertical="center" wrapText="1"/>
    </x:xf>
    <x:xf numFmtId="0" fontId="7" fillId="2" borderId="5" xfId="0" applyNumberFormat="1" applyFont="1" applyFill="1" applyBorder="1" applyAlignment="1">
      <x:alignment vertical="center" wrapText="1"/>
    </x:xf>
    <x:xf numFmtId="0" fontId="7" fillId="2" borderId="6" xfId="0" applyNumberFormat="1" applyFont="1" applyFill="1" applyBorder="1" applyAlignment="1">
      <x:alignment vertical="center" wrapText="1"/>
    </x:xf>
    <x:xf numFmtId="0" fontId="7" fillId="2" borderId="7" xfId="0" applyNumberFormat="1" applyFont="1" applyFill="1" applyBorder="1" applyAlignment="1">
      <x:alignment vertical="center" wrapText="1"/>
    </x:xf>
    <x:xf numFmtId="0" fontId="7" fillId="2" borderId="8" xfId="0" applyNumberFormat="1" applyFont="1" applyFill="1" applyBorder="1" applyAlignment="1">
      <x:alignment vertical="center" wrapText="1"/>
    </x:xf>
    <x:xf numFmtId="0" fontId="7" fillId="2" borderId="9" xfId="0" applyNumberFormat="1" applyFont="1" applyFill="1" applyBorder="1" applyAlignment="1">
      <x:alignment vertical="center" wrapText="1"/>
    </x:xf>
  </x:cellXfs>
  <x:cellStyles count="1">
    <x:cellStyle name="Normal" xfId="0"/>
  </x:cellStyles>
  <x:dxfs count="2">
    <x:dxf>
      <x:font>
        <x:b/>
        <x:color rgb="FFB42318"/>
      </x:font>
      <x:fill>
        <x:patternFill patternType="solid">
          <x:bgColor rgb="FFFCE8E6"/>
        </x:patternFill>
      </x:fill>
    </x:dxf>
    <x:dxf>
      <x:font>
        <x:b/>
        <x:color rgb="FFB42318"/>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0463c5c3ab4a81" /><Relationship Type="http://schemas.openxmlformats.org/officeDocument/2006/relationships/theme" Target="/xl/theme/theme1.xml" Id="R8202cd124c7f4187" /><Relationship Type="http://schemas.openxmlformats.org/officeDocument/2006/relationships/sharedStrings" Target="/xl/sharedStrings.xml" Id="R7b4206e0767147ff" /><Relationship Type="http://schemas.openxmlformats.org/officeDocument/2006/relationships/worksheet" Target="/xl/worksheets/sheet1.xml" Id="R11d9937d8dd54745" /><Relationship Type="http://schemas.openxmlformats.org/officeDocument/2006/relationships/worksheet" Target="/xl/worksheets/sheet2.xml" Id="R0f3d01ec0b3a43ea" /><Relationship Type="http://schemas.openxmlformats.org/officeDocument/2006/relationships/worksheet" Target="/xl/worksheets/sheet3.xml" Id="Rede0936cd27640a1" /><Relationship Type="http://schemas.openxmlformats.org/officeDocument/2006/relationships/worksheet" Target="/xl/worksheets/sheet4.xml" Id="R899caf0bc46f46d7" /><Relationship Type="http://schemas.openxmlformats.org/officeDocument/2006/relationships/worksheet" Target="/xl/worksheets/sheet5.xml" Id="Racc43f0052df48cc" /></Relationships>
</file>

<file path=xl/tables/table1.xml><?xml version="1.0" encoding="utf-8"?>
<x:table xmlns:x="http://schemas.openxmlformats.org/spreadsheetml/2006/main" id="1" name="OrdersTable" displayName="OrdersTable" ref="A5:T205" headerRowCount="1" totalsRowCount="0" totalsRowShown="0">
  <x:tableColumns count="20">
    <x:tableColumn id="1" name="Date"/>
    <x:tableColumn id="2" name="Listing"/>
    <x:tableColumn id="3" name="Item price"/>
    <x:tableColumn id="4" name="Shipping charged"/>
    <x:tableColumn id="5" name="Quantity"/>
    <x:tableColumn id="6" name="Offsite Ad?"/>
    <x:tableColumn id="7" name="Etsy Ads spend"/>
    <x:tableColumn id="8" name="Refund"/>
    <x:tableColumn id="9" name="Item subtotal"/>
    <x:tableColumn id="10" name="Order total"/>
    <x:tableColumn id="11" name="Net sales after refund"/>
    <x:tableColumn id="12" name="Listing fee"/>
    <x:tableColumn id="13" name="Transaction fee"/>
    <x:tableColumn id="14" name="Payment processing"/>
    <x:tableColumn id="15" name="Offsite Ads fee"/>
    <x:tableColumn id="16" name="Regulatory fee"/>
    <x:tableColumn id="17" name="Total fees"/>
    <x:tableColumn id="18" name="Net profit"/>
    <x:tableColumn id="19" name="Margin"/>
    <x:tableColumn id="20" name="Notes"/>
  </x:tableColumns>
  <x:tableStyleInfo name="TableStyleMedium2" showFirstColumn="0" showLastColumn="0" showRowStripes="0" showColumnStripes="0"/>
</x:table>
</file>

<file path=xl/tables/table2.xml><?xml version="1.0" encoding="utf-8"?>
<x:table xmlns:x="http://schemas.openxmlformats.org/spreadsheetml/2006/main" id="2" name="ExampleOrders" displayName="ExampleOrders" ref="A5:T13" headerRowCount="1" totalsRowCount="0" totalsRowShown="0">
  <x:tableColumns count="20">
    <x:tableColumn id="1" name="Date"/>
    <x:tableColumn id="2" name="Listing"/>
    <x:tableColumn id="3" name="Item price"/>
    <x:tableColumn id="4" name="Shipping charged"/>
    <x:tableColumn id="5" name="Quantity"/>
    <x:tableColumn id="6" name="Offsite Ad?"/>
    <x:tableColumn id="7" name="Etsy Ads spend"/>
    <x:tableColumn id="8" name="Refund"/>
    <x:tableColumn id="9" name="Item subtotal"/>
    <x:tableColumn id="10" name="Order total"/>
    <x:tableColumn id="11" name="Net sales after refund"/>
    <x:tableColumn id="12" name="Listing fee"/>
    <x:tableColumn id="13" name="Transaction fee"/>
    <x:tableColumn id="14" name="Payment processing"/>
    <x:tableColumn id="15" name="Offsite Ads fee"/>
    <x:tableColumn id="16" name="Regulatory fee"/>
    <x:tableColumn id="17" name="Total fees"/>
    <x:tableColumn id="18" name="Net profit"/>
    <x:tableColumn id="19" name="Margin"/>
    <x:tableColumn id="20" name="Notes"/>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56761d2d04f46b3" /></Relationships>
</file>

<file path=xl/worksheets/_rels/sheet5.xml.rels>&#65279;<?xml version="1.0" encoding="utf-8"?><Relationships xmlns="http://schemas.openxmlformats.org/package/2006/relationships"><Relationship Type="http://schemas.openxmlformats.org/officeDocument/2006/relationships/table" Target="/xl/tables/table2.xml" Id="R5f642a908d0f40bb"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2" hidden="0" customWidth="1"/>
    <x:col min="2" max="2" width="90" hidden="0" customWidth="1"/>
    <x:col min="3" max="3" width="12" hidden="0" customWidth="1"/>
    <x:col min="4" max="4" width="34" hidden="0" customWidth="1"/>
    <x:col min="5" max="5" width="12" hidden="0" customWidth="1"/>
    <x:col min="6" max="6" width="12" hidden="0" customWidth="1"/>
    <x:col min="7" max="7" width="12" hidden="0" customWidth="1"/>
    <x:col min="8" max="8" width="12" hidden="0" customWidth="1"/>
  </x:cols>
  <x:sheetData>
    <x:row r="1">
      <x:c r="A1" s="2"/>
      <x:c r="B1" s="2"/>
      <x:c r="C1" s="2"/>
      <x:c r="D1" s="2"/>
      <x:c r="E1" s="2"/>
      <x:c r="F1" s="2"/>
      <x:c r="G1" s="2"/>
      <x:c r="H1" s="2"/>
    </x:row>
    <x:row r="2">
      <x:c r="A2" s="3" t="str">
        <x:v>Etsy Seller Profit Tracker (after fees)</x:v>
      </x:c>
      <x:c r="B2" s="2"/>
      <x:c r="C2" s="2"/>
      <x:c r="D2" s="2"/>
      <x:c r="E2" s="2"/>
      <x:c r="F2" s="2"/>
      <x:c r="G2" s="2"/>
      <x:c r="H2" s="2"/>
    </x:row>
    <x:row r="3">
      <x:c r="A3" s="4"/>
      <x:c r="B3" s="4"/>
      <x:c r="C3" s="4"/>
      <x:c r="D3" s="4"/>
      <x:c r="E3" s="4"/>
      <x:c r="F3" s="4"/>
      <x:c r="G3" s="4"/>
      <x:c r="H3" s="4"/>
    </x:row>
    <x:row r="4">
      <x:c r="A4" s="2"/>
      <x:c r="B4" s="2"/>
      <x:c r="C4" s="2"/>
      <x:c r="D4" s="2"/>
      <x:c r="E4" s="2"/>
      <x:c r="F4" s="2"/>
      <x:c r="G4" s="2"/>
      <x:c r="H4" s="2"/>
    </x:row>
    <x:row r="5">
      <x:c r="A5" s="15" t="str">
        <x:v>Important: This workbook is not tax advice. Etsy fees vary by seller country and can change over time. Confirm every rate in your Etsy Payment account and update SETTINGS before relying on the results.</x:v>
      </x:c>
      <x:c r="B5" s="16"/>
      <x:c r="C5" s="16"/>
      <x:c r="D5" s="16"/>
      <x:c r="E5" s="16"/>
      <x:c r="F5" s="16"/>
      <x:c r="G5" s="16"/>
      <x:c r="H5" s="17"/>
    </x:row>
    <x:row r="6">
      <x:c r="A6" s="18"/>
      <x:c r="B6" s="19"/>
      <x:c r="C6" s="19"/>
      <x:c r="D6" s="19"/>
      <x:c r="E6" s="19"/>
      <x:c r="F6" s="19"/>
      <x:c r="G6" s="19"/>
      <x:c r="H6" s="20"/>
    </x:row>
    <x:row r="7">
      <x:c r="A7" s="21"/>
      <x:c r="B7" s="22"/>
      <x:c r="C7" s="22"/>
      <x:c r="D7" s="22"/>
      <x:c r="E7" s="22"/>
      <x:c r="F7" s="22"/>
      <x:c r="G7" s="22"/>
      <x:c r="H7" s="23"/>
    </x:row>
    <x:row r="8">
      <x:c r="A8" s="2"/>
      <x:c r="B8" s="2"/>
      <x:c r="C8" s="2"/>
      <x:c r="D8" s="2"/>
      <x:c r="E8" s="2"/>
      <x:c r="F8" s="2"/>
      <x:c r="G8" s="2"/>
      <x:c r="H8" s="2"/>
    </x:row>
    <x:row r="9">
      <x:c r="A9" s="26" t="str">
        <x:v>Quick start</x:v>
      </x:c>
      <x:c r="B9" s="27"/>
      <x:c r="C9" s="27"/>
      <x:c r="D9" s="27"/>
      <x:c r="E9" s="27"/>
      <x:c r="F9" s="27"/>
      <x:c r="G9" s="27"/>
      <x:c r="H9" s="28"/>
    </x:row>
    <x:row r="10">
      <x:c r="A10" s="2"/>
      <x:c r="B10" s="2"/>
      <x:c r="C10" s="2"/>
      <x:c r="D10" s="2"/>
      <x:c r="E10" s="2"/>
      <x:c r="F10" s="2"/>
      <x:c r="G10" s="2"/>
      <x:c r="H10" s="2"/>
    </x:row>
    <x:row r="11" ht="31" customHeight="1">
      <x:c r="A11" s="31" t="str">
        <x:v>1</x:v>
      </x:c>
      <x:c r="B11" s="32" t="str">
        <x:v>Open SETTINGS. Verify the US defaults and choose Yes/No for the $10,000 Offsite Ads threshold.</x:v>
      </x:c>
      <x:c r="C11" s="32"/>
      <x:c r="D11" s="32"/>
      <x:c r="E11" s="32"/>
      <x:c r="F11" s="32"/>
      <x:c r="G11" s="32"/>
      <x:c r="H11" s="32"/>
    </x:row>
    <x:row r="12" ht="31" customHeight="1">
      <x:c r="A12" s="31" t="str">
        <x:v>2</x:v>
      </x:c>
      <x:c r="B12" s="32" t="str">
        <x:v>Enter one order per row in ORDERS. Use the yellow columns only.</x:v>
      </x:c>
      <x:c r="C12" s="32"/>
      <x:c r="D12" s="32"/>
      <x:c r="E12" s="32"/>
      <x:c r="F12" s="32"/>
      <x:c r="G12" s="32"/>
      <x:c r="H12" s="32"/>
    </x:row>
    <x:row r="13" ht="31" customHeight="1">
      <x:c r="A13" s="31" t="str">
        <x:v>3</x:v>
      </x:c>
      <x:c r="B13" s="32" t="str">
        <x:v>Review calculated fees and net profit on the same row.</x:v>
      </x:c>
      <x:c r="C13" s="32"/>
      <x:c r="D13" s="32"/>
      <x:c r="E13" s="32"/>
      <x:c r="F13" s="32"/>
      <x:c r="G13" s="32"/>
      <x:c r="H13" s="32"/>
    </x:row>
    <x:row r="14" ht="31" customHeight="1">
      <x:c r="A14" s="31" t="str">
        <x:v>4</x:v>
      </x:c>
      <x:c r="B14" s="32" t="str">
        <x:v>Choose a month on DASHBOARD to review monthly results.</x:v>
      </x:c>
      <x:c r="C14" s="32"/>
      <x:c r="D14" s="32"/>
      <x:c r="E14" s="32"/>
      <x:c r="F14" s="32"/>
      <x:c r="G14" s="32"/>
      <x:c r="H14" s="32"/>
    </x:row>
    <x:row r="15">
      <x:c r="A15" s="2"/>
      <x:c r="B15" s="2"/>
      <x:c r="C15" s="2"/>
      <x:c r="D15" s="2"/>
      <x:c r="E15" s="2"/>
      <x:c r="F15" s="2"/>
      <x:c r="G15" s="2"/>
      <x:c r="H15" s="2"/>
    </x:row>
    <x:row r="16">
      <x:c r="A16" s="26" t="str">
        <x:v>What this model includes</x:v>
      </x:c>
      <x:c r="B16" s="27"/>
      <x:c r="C16" s="27"/>
      <x:c r="D16" s="27"/>
      <x:c r="E16" s="27"/>
      <x:c r="F16" s="27"/>
      <x:c r="G16" s="27"/>
      <x:c r="H16" s="28"/>
    </x:row>
    <x:row r="17">
      <x:c r="A17" s="2"/>
      <x:c r="B17" s="2"/>
      <x:c r="C17" s="2"/>
      <x:c r="D17" s="2"/>
      <x:c r="E17" s="2"/>
      <x:c r="F17" s="2"/>
      <x:c r="G17" s="2"/>
      <x:c r="H17" s="2"/>
    </x:row>
    <x:row r="18">
      <x:c r="A18" s="42" t="str">
        <x:v>Included</x:v>
      </x:c>
      <x:c r="B18" s="34" t="str">
        <x:v>Listing fee</x:v>
      </x:c>
      <x:c r="C18" s="45" t="str">
        <x:v>Included</x:v>
      </x:c>
      <x:c r="D18" s="35" t="str">
        <x:v>Transaction fee</x:v>
      </x:c>
      <x:c r="E18" s="2"/>
      <x:c r="F18" s="2"/>
      <x:c r="G18" s="2"/>
      <x:c r="H18" s="2"/>
    </x:row>
    <x:row r="19">
      <x:c r="A19" s="43" t="str">
        <x:v>Included</x:v>
      </x:c>
      <x:c r="B19" s="37" t="str">
        <x:v>Payment processing</x:v>
      </x:c>
      <x:c r="C19" s="46" t="str">
        <x:v>Included</x:v>
      </x:c>
      <x:c r="D19" s="38" t="str">
        <x:v>Offsite Ads</x:v>
      </x:c>
      <x:c r="E19" s="2"/>
      <x:c r="F19" s="2"/>
      <x:c r="G19" s="2"/>
      <x:c r="H19" s="2"/>
    </x:row>
    <x:row r="20">
      <x:c r="A20" s="43" t="str">
        <x:v>Included</x:v>
      </x:c>
      <x:c r="B20" s="37" t="str">
        <x:v>Manual Etsy Ads cost</x:v>
      </x:c>
      <x:c r="C20" s="46" t="str">
        <x:v>Included</x:v>
      </x:c>
      <x:c r="D20" s="38" t="str">
        <x:v>Regulatory operating fee</x:v>
      </x:c>
      <x:c r="E20" s="2"/>
      <x:c r="F20" s="2"/>
      <x:c r="G20" s="2"/>
      <x:c r="H20" s="2"/>
    </x:row>
    <x:row r="21">
      <x:c r="A21" s="43" t="str">
        <x:v>Included</x:v>
      </x:c>
      <x:c r="B21" s="37" t="str">
        <x:v>Refunds</x:v>
      </x:c>
      <x:c r="C21" s="46" t="str">
        <x:v>Excluded</x:v>
      </x:c>
      <x:c r="D21" s="38" t="str">
        <x:v>Sales tax collected/remitted by Etsy</x:v>
      </x:c>
      <x:c r="E21" s="2"/>
      <x:c r="F21" s="2"/>
      <x:c r="G21" s="2"/>
      <x:c r="H21" s="2"/>
    </x:row>
    <x:row r="22">
      <x:c r="A22" s="43" t="str">
        <x:v>Excluded</x:v>
      </x:c>
      <x:c r="B22" s="37" t="str">
        <x:v>Shipping labels</x:v>
      </x:c>
      <x:c r="C22" s="46" t="str">
        <x:v>Excluded</x:v>
      </x:c>
      <x:c r="D22" s="38" t="str">
        <x:v>VAT on seller fees</x:v>
      </x:c>
      <x:c r="E22" s="2"/>
      <x:c r="F22" s="2"/>
      <x:c r="G22" s="2"/>
      <x:c r="H22" s="2"/>
    </x:row>
    <x:row r="23">
      <x:c r="A23" s="44" t="str">
        <x:v>Excluded</x:v>
      </x:c>
      <x:c r="B23" s="40" t="str">
        <x:v>Currency conversion and subscriptions</x:v>
      </x:c>
      <x:c r="C23" s="47" t="str">
        <x:v>Excluded</x:v>
      </x:c>
      <x:c r="D23" s="41" t="str">
        <x:v>Income tax and cost of goods</x:v>
      </x:c>
      <x:c r="E23" s="2"/>
      <x:c r="F23" s="2"/>
      <x:c r="G23" s="2"/>
      <x:c r="H23" s="2"/>
    </x:row>
    <x:row r="24">
      <x:c r="A24" s="2"/>
      <x:c r="B24" s="2"/>
      <x:c r="C24" s="2"/>
      <x:c r="D24" s="2"/>
      <x:c r="E24" s="2"/>
      <x:c r="F24" s="2"/>
      <x:c r="G24" s="2"/>
      <x:c r="H24" s="2"/>
    </x:row>
    <x:row r="25">
      <x:c r="A25" s="58" t="str">
        <x:v>Refund handling in this model: the refund reduces the fee base before percentage fees are calculated; the listing fee and manually entered Etsy Ads spend remain costs. Compare the result with actual credits in your Etsy Payment account.</x:v>
      </x:c>
      <x:c r="B25" s="59"/>
      <x:c r="C25" s="59"/>
      <x:c r="D25" s="59"/>
      <x:c r="E25" s="59"/>
      <x:c r="F25" s="59"/>
      <x:c r="G25" s="59"/>
      <x:c r="H25" s="60"/>
    </x:row>
    <x:row r="26">
      <x:c r="A26" s="61"/>
      <x:c r="B26" s="62"/>
      <x:c r="C26" s="62"/>
      <x:c r="D26" s="62"/>
      <x:c r="E26" s="62"/>
      <x:c r="F26" s="62"/>
      <x:c r="G26" s="62"/>
      <x:c r="H26" s="63"/>
    </x:row>
    <x:row r="27">
      <x:c r="A27" s="64"/>
      <x:c r="B27" s="65"/>
      <x:c r="C27" s="65"/>
      <x:c r="D27" s="65"/>
      <x:c r="E27" s="65"/>
      <x:c r="F27" s="65"/>
      <x:c r="G27" s="65"/>
      <x:c r="H27" s="66"/>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sheetData>
  <x:mergeCells>
    <x:mergeCell ref="A5:H7"/>
    <x:mergeCell ref="A9:H9"/>
    <x:mergeCell ref="A16:H16"/>
    <x:mergeCell ref="A25:H27"/>
  </x:mergeCells>
  <x:pageMargins left="0.7" right="0.7" top="0.75" bottom="0.75" header="0.3" footer="0.3"/>
</x:worksheet>
</file>

<file path=xl/worksheets/sheet2.xml><?xml version="1.0" encoding="utf-8"?>
<x:worksheet xmlns:x="http://schemas.openxmlformats.org/spreadsheetml/2006/main">
  <x:sheetPr>
    <x:tabColor rgb="FF2C6EAA"/>
  </x:sheetPr>
  <x:sheetViews>
    <x:sheetView showGridLines="0" workbookViewId="0">
      <x:pane ySplit="5" topLeftCell="A6" activePane="bottomLeft" state="frozen"/>
    </x:sheetView>
  </x:sheetViews>
  <x:sheetFormatPr defaultRowHeight="15"/>
  <x:cols>
    <x:col min="1" max="1" width="31" hidden="0" customWidth="1"/>
    <x:col min="2" max="2" width="17" hidden="0" customWidth="1"/>
    <x:col min="3" max="3" width="22" hidden="0" customWidth="1"/>
    <x:col min="4" max="4" width="56" hidden="0" customWidth="1"/>
    <x:col min="5" max="5" width="14" hidden="0" customWidth="1"/>
    <x:col min="6" max="6" width="40" hidden="0" customWidth="1"/>
  </x:cols>
  <x:sheetData>
    <x:row r="1">
      <x:c r="A1" s="2"/>
      <x:c r="B1" s="2"/>
      <x:c r="C1" s="2"/>
      <x:c r="D1" s="2"/>
      <x:c r="E1" s="2"/>
      <x:c r="F1" s="2"/>
    </x:row>
    <x:row r="2">
      <x:c r="A2" s="3" t="str">
        <x:v>SETTINGS — verify before use</x:v>
      </x:c>
      <x:c r="B2" s="2"/>
      <x:c r="C2" s="2"/>
      <x:c r="D2" s="2"/>
      <x:c r="E2" s="2"/>
      <x:c r="F2" s="2"/>
    </x:row>
    <x:row r="3">
      <x:c r="A3" s="68" t="str">
        <x:v>US seller defaults. Yellow cells are editable. Update rates using your Etsy Payment account before use.</x:v>
      </x:c>
      <x:c r="B3" s="68" t="str">
        <x:v>US seller defaults. Yellow cells are editable. Update rates using your Etsy Payment account before use.</x:v>
      </x:c>
      <x:c r="C3" s="68" t="str">
        <x:v>US seller defaults. Yellow cells are editable. Update rates using your Etsy Payment account before use.</x:v>
      </x:c>
      <x:c r="D3" s="68" t="str">
        <x:v>US seller defaults. Yellow cells are editable. Update rates using your Etsy Payment account before use.</x:v>
      </x:c>
      <x:c r="E3" s="68" t="str">
        <x:v>US seller defaults. Yellow cells are editable. Update rates using your Etsy Payment account before use.</x:v>
      </x:c>
      <x:c r="F3" s="68" t="str">
        <x:v>US seller defaults. Yellow cells are editable. Update rates using your Etsy Payment account before use.</x:v>
      </x:c>
    </x:row>
    <x:row r="4">
      <x:c r="A4" s="2"/>
      <x:c r="B4" s="2"/>
      <x:c r="C4" s="2"/>
      <x:c r="D4" s="2"/>
      <x:c r="E4" s="2"/>
      <x:c r="F4" s="2"/>
    </x:row>
    <x:row r="5" ht="34" customHeight="1">
      <x:c r="A5" s="75" t="str">
        <x:v>Assumption</x:v>
      </x:c>
      <x:c r="B5" s="76" t="str">
        <x:v>Value</x:v>
      </x:c>
      <x:c r="C5" s="76" t="str">
        <x:v>Unit / control</x:v>
      </x:c>
      <x:c r="D5" s="76" t="str">
        <x:v>Official source</x:v>
      </x:c>
      <x:c r="E5" s="76" t="str">
        <x:v>Checked</x:v>
      </x:c>
      <x:c r="F5" s="77" t="str">
        <x:v>Notes</x:v>
      </x:c>
    </x:row>
    <x:row r="6" ht="32" customHeight="1">
      <x:c r="A6" s="82" t="str">
        <x:v>Listing fee per item</x:v>
      </x:c>
      <x:c r="B6" s="83" t="n">
        <x:v>0.2</x:v>
      </x:c>
      <x:c r="C6" s="82" t="str">
        <x:v>USD</x:v>
      </x:c>
      <x:c r="D6" s="94" t="str">
        <x:v>https://help.etsy.com/hc/en-us/articles/115014483627-What-are-the-Fees-and-Taxes-for-Selling-on-Etsy</x:v>
      </x:c>
      <x:c r="E6" s="84" t="n">
        <x:v>46303.5</x:v>
      </x:c>
      <x:c r="F6" s="97" t="str">
        <x:v>US seller, verify before use</x:v>
      </x:c>
    </x:row>
    <x:row r="7" ht="32" customHeight="1">
      <x:c r="A7" s="85" t="str">
        <x:v>Transaction fee rate</x:v>
      </x:c>
      <x:c r="B7" s="86" t="n">
        <x:v>0.065</x:v>
      </x:c>
      <x:c r="C7" s="85" t="str">
        <x:v>% of net order</x:v>
      </x:c>
      <x:c r="D7" s="95" t="str">
        <x:v>https://help.etsy.com/hc/en-us/articles/115014483627-What-are-the-Fees-and-Taxes-for-Selling-on-Etsy</x:v>
      </x:c>
      <x:c r="E7" s="87" t="n">
        <x:v>46303.5</x:v>
      </x:c>
      <x:c r="F7" s="98" t="str">
        <x:v>Includes item price and shipping</x:v>
      </x:c>
    </x:row>
    <x:row r="8" ht="32" customHeight="1">
      <x:c r="A8" s="85" t="str">
        <x:v>Payment processing rate</x:v>
      </x:c>
      <x:c r="B8" s="86" t="n">
        <x:v>0.03</x:v>
      </x:c>
      <x:c r="C8" s="85" t="str">
        <x:v>% of net order</x:v>
      </x:c>
      <x:c r="D8" s="95" t="str">
        <x:v>https://www.etsy.com/sell</x:v>
      </x:c>
      <x:c r="E8" s="87" t="n">
        <x:v>46303.5</x:v>
      </x:c>
      <x:c r="F8" s="98" t="str">
        <x:v>US seller, verify before use</x:v>
      </x:c>
    </x:row>
    <x:row r="9" ht="32" customHeight="1">
      <x:c r="A9" s="85" t="str">
        <x:v>Payment processing fixed fee</x:v>
      </x:c>
      <x:c r="B9" s="88" t="n">
        <x:v>0.25</x:v>
      </x:c>
      <x:c r="C9" s="85" t="str">
        <x:v>USD per order</x:v>
      </x:c>
      <x:c r="D9" s="95" t="str">
        <x:v>https://www.etsy.com/sell</x:v>
      </x:c>
      <x:c r="E9" s="87" t="n">
        <x:v>46303.5</x:v>
      </x:c>
      <x:c r="F9" s="98" t="str">
        <x:v>Applied only when net sales after refund are above zero</x:v>
      </x:c>
    </x:row>
    <x:row r="10" ht="32" customHeight="1">
      <x:c r="A10" s="85" t="str">
        <x:v>Offsite Ads standard rate</x:v>
      </x:c>
      <x:c r="B10" s="86" t="n">
        <x:v>0.15</x:v>
      </x:c>
      <x:c r="C10" s="85" t="str">
        <x:v>% of attributed order</x:v>
      </x:c>
      <x:c r="D10" s="95" t="str">
        <x:v>https://help.etsy.com/hc/en-us/articles/360000338367-How-Etsy-s-Offsite-Ads-Work</x:v>
      </x:c>
      <x:c r="E10" s="87" t="n">
        <x:v>46303.5</x:v>
      </x:c>
      <x:c r="F10" s="98" t="str">
        <x:v>For shops below the threshold; verify eligibility to opt out</x:v>
      </x:c>
    </x:row>
    <x:row r="11" ht="32" customHeight="1">
      <x:c r="A11" s="85" t="str">
        <x:v>Offsite Ads reduced rate</x:v>
      </x:c>
      <x:c r="B11" s="86" t="n">
        <x:v>0.12</x:v>
      </x:c>
      <x:c r="C11" s="85" t="str">
        <x:v>% of attributed order</x:v>
      </x:c>
      <x:c r="D11" s="95" t="str">
        <x:v>https://help.etsy.com/hc/en-us/articles/360000338367-How-Etsy-s-Offsite-Ads-Work</x:v>
      </x:c>
      <x:c r="E11" s="87" t="n">
        <x:v>46303.5</x:v>
      </x:c>
      <x:c r="F11" s="98" t="str">
        <x:v>For shops that crossed the threshold</x:v>
      </x:c>
    </x:row>
    <x:row r="12" ht="32" customHeight="1">
      <x:c r="A12" s="85" t="str">
        <x:v>Shop crossed $10,000 threshold?</x:v>
      </x:c>
      <x:c r="B12" s="89" t="str">
        <x:v>No</x:v>
      </x:c>
      <x:c r="C12" s="85" t="str">
        <x:v>Yes / No</x:v>
      </x:c>
      <x:c r="D12" s="95" t="str">
        <x:v>https://help.etsy.com/hc/en-us/articles/360000338367-How-Etsy-s-Offsite-Ads-Work</x:v>
      </x:c>
      <x:c r="E12" s="87" t="n">
        <x:v>46303.5</x:v>
      </x:c>
      <x:c r="F12" s="98" t="str">
        <x:v>This controls the active Offsite Ads rate</x:v>
      </x:c>
    </x:row>
    <x:row r="13" ht="32" customHeight="1">
      <x:c r="A13" s="85" t="str">
        <x:v>Active Offsite Ads rate</x:v>
      </x:c>
      <x:c r="B13" s="90" t="n">
        <x:f>IF(B12="Yes",B11,B10)</x:f>
        <x:v>0.15</x:v>
      </x:c>
      <x:c r="C13" s="85" t="str">
        <x:v>Calculated</x:v>
      </x:c>
      <x:c r="D13" s="95" t="str">
        <x:v>Uses the two rates above</x:v>
      </x:c>
      <x:c r="E13" s="87" t="n">
        <x:v>46303.5</x:v>
      </x:c>
      <x:c r="F13" s="98" t="str">
        <x:v>Formula; do not overwrite</x:v>
      </x:c>
    </x:row>
    <x:row r="14" ht="32" customHeight="1">
      <x:c r="A14" s="85" t="str">
        <x:v>Offsite Ads fee cap</x:v>
      </x:c>
      <x:c r="B14" s="88" t="n">
        <x:v>100</x:v>
      </x:c>
      <x:c r="C14" s="85" t="str">
        <x:v>USD per order</x:v>
      </x:c>
      <x:c r="D14" s="95" t="str">
        <x:v>https://www.etsy.com/legal/fees</x:v>
      </x:c>
      <x:c r="E14" s="87" t="n">
        <x:v>46303.5</x:v>
      </x:c>
      <x:c r="F14" s="98" t="str">
        <x:v>Official policy states a $100 maximum per attributed order</x:v>
      </x:c>
    </x:row>
    <x:row r="15" ht="32" customHeight="1">
      <x:c r="A15" s="91" t="str">
        <x:v>Regulatory operating fee rate</x:v>
      </x:c>
      <x:c r="B15" s="92" t="n">
        <x:v>0</x:v>
      </x:c>
      <x:c r="C15" s="91" t="str">
        <x:v>% of net order</x:v>
      </x:c>
      <x:c r="D15" s="96" t="str">
        <x:v>https://help.etsy.com/hc/en-us/articles/1500011073202-What-is-a-Regulatory-Operating-Fee</x:v>
      </x:c>
      <x:c r="E15" s="93" t="n">
        <x:v>46303.5</x:v>
      </x:c>
      <x:c r="F15" s="99" t="str">
        <x:v>0% US default; edit for your seller country</x:v>
      </x:c>
    </x:row>
    <x:row r="16">
      <x:c r="A16" s="2"/>
      <x:c r="B16" s="2"/>
      <x:c r="C16" s="2"/>
      <x:c r="D16" s="2"/>
      <x:c r="E16" s="2"/>
      <x:c r="F16" s="2"/>
    </x:row>
    <x:row r="17">
      <x:c r="A17" s="58" t="str">
        <x:v>Not modeled: VAT on seller fees, sales tax collected/remitted by Etsy, shipping labels, currency conversion, subscriptions, payment reserves, chargebacks, income tax, cost of goods, or bank/deposit fees.</x:v>
      </x:c>
      <x:c r="B17" s="59"/>
      <x:c r="C17" s="59"/>
      <x:c r="D17" s="59"/>
      <x:c r="E17" s="59"/>
      <x:c r="F17" s="60"/>
    </x:row>
    <x:row r="18">
      <x:c r="A18" s="61"/>
      <x:c r="B18" s="62"/>
      <x:c r="C18" s="62"/>
      <x:c r="D18" s="62"/>
      <x:c r="E18" s="62"/>
      <x:c r="F18" s="63"/>
    </x:row>
    <x:row r="19">
      <x:c r="A19" s="64"/>
      <x:c r="B19" s="65"/>
      <x:c r="C19" s="65"/>
      <x:c r="D19" s="65"/>
      <x:c r="E19" s="65"/>
      <x:c r="F19" s="66"/>
    </x:row>
    <x:row r="20">
      <x:c r="A20" s="2"/>
      <x:c r="B20" s="2"/>
      <x:c r="C20" s="2"/>
      <x:c r="D20" s="2"/>
      <x:c r="E20" s="2"/>
      <x:c r="F20" s="2"/>
    </x:row>
  </x:sheetData>
  <x:mergeCells>
    <x:mergeCell ref="A3:F3"/>
    <x:mergeCell ref="A17:F19"/>
  </x:mergeCells>
  <x:dataValidations count="1">
    <x:dataValidation type="list" sqref="B12">
      <x:formula1>"No,Yes"</x:formula1>
    </x:dataValidation>
  </x:dataValidations>
  <x:pageMargins left="0.7" right="0.7" top="0.75" bottom="0.75" header="0.3" footer="0.3"/>
</x:worksheet>
</file>

<file path=xl/worksheets/sheet3.xml><?xml version="1.0" encoding="utf-8"?>
<x:worksheet xmlns:x="http://schemas.openxmlformats.org/spreadsheetml/2006/main">
  <x:sheetPr>
    <x:tabColor rgb="FF5B8DB8"/>
  </x:sheetPr>
  <x:sheetViews>
    <x:sheetView showGridLines="0" workbookViewId="0">
      <x:pane xSplit="2" ySplit="5" topLeftCell="C6" activePane="bottomRight" state="frozen"/>
    </x:sheetView>
  </x:sheetViews>
  <x:sheetFormatPr defaultRowHeight="15"/>
  <x:cols>
    <x:col min="1" max="1" width="13" hidden="0" customWidth="1"/>
    <x:col min="2" max="2" width="26" hidden="0" customWidth="1"/>
    <x:col min="3" max="3" width="16" hidden="0" customWidth="1"/>
    <x:col min="4" max="4" width="16" hidden="0" customWidth="1"/>
    <x:col min="5" max="5" width="11" hidden="0" customWidth="1"/>
    <x:col min="6" max="6" width="14" hidden="0" customWidth="1"/>
    <x:col min="7" max="7" width="16" hidden="0" customWidth="1"/>
    <x:col min="8" max="8" width="16"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2" hidden="0" customWidth="1"/>
    <x:col min="20" max="20" width="30" hidden="0" customWidth="1"/>
  </x:cols>
  <x:sheetData>
    <x:row r="1">
      <x:c r="A1" s="2"/>
      <x:c r="B1" s="2"/>
      <x:c r="C1" s="2"/>
      <x:c r="D1" s="2"/>
      <x:c r="E1" s="2"/>
      <x:c r="F1" s="2"/>
      <x:c r="G1" s="2"/>
      <x:c r="H1" s="2"/>
      <x:c r="I1" s="2"/>
      <x:c r="J1" s="2"/>
      <x:c r="K1" s="2"/>
      <x:c r="L1" s="2"/>
      <x:c r="M1" s="2"/>
      <x:c r="N1" s="2"/>
      <x:c r="O1" s="2"/>
      <x:c r="P1" s="2"/>
      <x:c r="Q1" s="2"/>
      <x:c r="R1" s="2"/>
      <x:c r="S1" s="2"/>
      <x:c r="T1" s="2"/>
    </x:row>
    <x:row r="2">
      <x:c r="A2" s="3" t="str">
        <x:v>ORDERS — one row per order</x:v>
      </x:c>
      <x:c r="B2" s="2"/>
      <x:c r="C2" s="2"/>
      <x:c r="D2" s="2"/>
      <x:c r="E2" s="2"/>
      <x:c r="F2" s="2"/>
      <x:c r="G2" s="2"/>
      <x:c r="H2" s="2"/>
      <x:c r="I2" s="2"/>
      <x:c r="J2" s="2"/>
      <x:c r="K2" s="2"/>
      <x:c r="L2" s="2"/>
      <x:c r="M2" s="2"/>
      <x:c r="N2" s="2"/>
      <x:c r="O2" s="2"/>
      <x:c r="P2" s="2"/>
      <x:c r="Q2" s="2"/>
      <x:c r="R2" s="2"/>
      <x:c r="S2" s="2"/>
      <x:c r="T2" s="2"/>
    </x:row>
    <x:row r="3">
      <x:c r="A3" s="67" t="str">
        <x:v>Enter data in yellow columns A:H and optional Notes. Blue columns calculate automatically from SETTINGS.</x:v>
      </x:c>
      <x:c r="B3" s="67"/>
      <x:c r="C3" s="67"/>
      <x:c r="D3" s="67"/>
      <x:c r="E3" s="67"/>
      <x:c r="F3" s="67"/>
      <x:c r="G3" s="67"/>
      <x:c r="H3" s="67"/>
      <x:c r="I3" s="67"/>
      <x:c r="J3" s="67"/>
      <x:c r="K3" s="67"/>
      <x:c r="L3" s="67"/>
      <x:c r="M3" s="67"/>
      <x:c r="N3" s="67"/>
      <x:c r="O3" s="67"/>
      <x:c r="P3" s="67"/>
      <x:c r="Q3" s="67"/>
      <x:c r="R3" s="67"/>
      <x:c r="S3" s="67"/>
      <x:c r="T3" s="67"/>
    </x:row>
    <x:row r="4">
      <x:c r="A4" s="2"/>
      <x:c r="B4" s="2"/>
      <x:c r="C4" s="2"/>
      <x:c r="D4" s="2"/>
      <x:c r="E4" s="2"/>
      <x:c r="F4" s="2"/>
      <x:c r="G4" s="2"/>
      <x:c r="H4" s="2"/>
      <x:c r="I4" s="2"/>
      <x:c r="J4" s="2"/>
      <x:c r="K4" s="2"/>
      <x:c r="L4" s="2"/>
      <x:c r="M4" s="2"/>
      <x:c r="N4" s="2"/>
      <x:c r="O4" s="2"/>
      <x:c r="P4" s="2"/>
      <x:c r="Q4" s="2"/>
      <x:c r="R4" s="2"/>
      <x:c r="S4" s="2"/>
      <x:c r="T4" s="2"/>
    </x:row>
    <x:row r="5" ht="46" customHeight="1">
      <x:c r="A5" s="103" t="str">
        <x:v>Date</x:v>
      </x:c>
      <x:c r="B5" s="104" t="str">
        <x:v>Listing</x:v>
      </x:c>
      <x:c r="C5" s="104" t="str">
        <x:v>Item price</x:v>
      </x:c>
      <x:c r="D5" s="104" t="str">
        <x:v>Shipping charged</x:v>
      </x:c>
      <x:c r="E5" s="104" t="str">
        <x:v>Quantity</x:v>
      </x:c>
      <x:c r="F5" s="104" t="str">
        <x:v>Offsite Ad?</x:v>
      </x:c>
      <x:c r="G5" s="104" t="str">
        <x:v>Etsy Ads spend</x:v>
      </x:c>
      <x:c r="H5" s="104" t="str">
        <x:v>Refund</x:v>
      </x:c>
      <x:c r="I5" s="104" t="str">
        <x:v>Item subtotal</x:v>
      </x:c>
      <x:c r="J5" s="104" t="str">
        <x:v>Order total</x:v>
      </x:c>
      <x:c r="K5" s="104" t="str">
        <x:v>Net sales after refund</x:v>
      </x:c>
      <x:c r="L5" s="104" t="str">
        <x:v>Listing fee</x:v>
      </x:c>
      <x:c r="M5" s="104" t="str">
        <x:v>Transaction fee</x:v>
      </x:c>
      <x:c r="N5" s="104" t="str">
        <x:v>Payment processing</x:v>
      </x:c>
      <x:c r="O5" s="104" t="str">
        <x:v>Offsite Ads fee</x:v>
      </x:c>
      <x:c r="P5" s="104" t="str">
        <x:v>Regulatory fee</x:v>
      </x:c>
      <x:c r="Q5" s="104" t="str">
        <x:v>Total fees</x:v>
      </x:c>
      <x:c r="R5" s="104" t="str">
        <x:v>Net profit</x:v>
      </x:c>
      <x:c r="S5" s="104" t="str">
        <x:v>Margin</x:v>
      </x:c>
      <x:c r="T5" s="104" t="str">
        <x:v>Notes</x:v>
      </x:c>
    </x:row>
    <x:row r="6" ht="23" customHeight="1">
      <x:c r="A6" s="105"/>
      <x:c r="B6" s="106"/>
      <x:c r="C6" s="107"/>
      <x:c r="D6" s="107"/>
      <x:c r="E6" s="106"/>
      <x:c r="F6" s="106"/>
      <x:c r="G6" s="107"/>
      <x:c r="H6" s="107"/>
      <x:c r="I6" s="108" t="str">
        <x:f>IF(OR(C6="",E6=""),"",ROUND(C6*E6,2))</x:f>
      </x:c>
      <x:c r="J6" s="108" t="str">
        <x:f>IF(I6="","",ROUND(I6+D6,2))</x:f>
      </x:c>
      <x:c r="K6" s="108" t="str">
        <x:f>IF(J6="","",MAX(ROUND(J6-H6,2),0))</x:f>
      </x:c>
      <x:c r="L6" s="108" t="str">
        <x:f>IF(A6="","",ROUND(E6*SETTINGS!$B$6,2))</x:f>
      </x:c>
      <x:c r="M6" s="108" t="str">
        <x:f>IF(A6="","",ROUND(K6*SETTINGS!$B$7,2))</x:f>
      </x:c>
      <x:c r="N6" s="108" t="str">
        <x:f>IF(A6="","",IF(K6&gt;0,ROUND(K6*SETTINGS!$B$8+SETTINGS!$B$9,2),0))</x:f>
      </x:c>
      <x:c r="O6" s="108" t="str">
        <x:f>IF(A6="","",IF(F6="Yes",ROUND(MIN(K6*SETTINGS!$B$13,SETTINGS!$B$14),2),0))</x:f>
      </x:c>
      <x:c r="P6" s="108" t="str">
        <x:f>IF(A6="","",ROUND(K6*SETTINGS!$B$15,2))</x:f>
      </x:c>
      <x:c r="Q6" s="108" t="str">
        <x:f>IF(A6="","",ROUND(SUM(L6:P6)+G6,2))</x:f>
      </x:c>
      <x:c r="R6" s="108" t="str">
        <x:f>IF(A6="","",ROUND(K6-Q6,2))</x:f>
      </x:c>
      <x:c r="S6" s="109" t="str">
        <x:f>IF(OR(A6="",K6=0),"",R6/K6)</x:f>
      </x:c>
      <x:c r="T6" s="110"/>
    </x:row>
    <x:row r="7" ht="23" customHeight="1">
      <x:c r="A7" s="105"/>
      <x:c r="B7" s="106"/>
      <x:c r="C7" s="107"/>
      <x:c r="D7" s="107"/>
      <x:c r="E7" s="106"/>
      <x:c r="F7" s="106"/>
      <x:c r="G7" s="107"/>
      <x:c r="H7" s="107"/>
      <x:c r="I7" s="108" t="str">
        <x:f>IF(OR(C7="",E7=""),"",ROUND(C7*E7,2))</x:f>
      </x:c>
      <x:c r="J7" s="108" t="str">
        <x:f>IF(I7="","",ROUND(I7+D7,2))</x:f>
      </x:c>
      <x:c r="K7" s="108" t="str">
        <x:f>IF(J7="","",MAX(ROUND(J7-H7,2),0))</x:f>
      </x:c>
      <x:c r="L7" s="108" t="str">
        <x:f>IF(A7="","",ROUND(E7*SETTINGS!$B$6,2))</x:f>
      </x:c>
      <x:c r="M7" s="108" t="str">
        <x:f>IF(A7="","",ROUND(K7*SETTINGS!$B$7,2))</x:f>
      </x:c>
      <x:c r="N7" s="108" t="str">
        <x:f>IF(A7="","",IF(K7&gt;0,ROUND(K7*SETTINGS!$B$8+SETTINGS!$B$9,2),0))</x:f>
      </x:c>
      <x:c r="O7" s="108" t="str">
        <x:f>IF(A7="","",IF(F7="Yes",ROUND(MIN(K7*SETTINGS!$B$13,SETTINGS!$B$14),2),0))</x:f>
      </x:c>
      <x:c r="P7" s="108" t="str">
        <x:f>IF(A7="","",ROUND(K7*SETTINGS!$B$15,2))</x:f>
      </x:c>
      <x:c r="Q7" s="108" t="str">
        <x:f>IF(A7="","",ROUND(SUM(L7:P7)+G7,2))</x:f>
      </x:c>
      <x:c r="R7" s="108" t="str">
        <x:f>IF(A7="","",ROUND(K7-Q7,2))</x:f>
      </x:c>
      <x:c r="S7" s="109" t="str">
        <x:f>IF(OR(A7="",K7=0),"",R7/K7)</x:f>
      </x:c>
      <x:c r="T7" s="110"/>
    </x:row>
    <x:row r="8" ht="23" customHeight="1">
      <x:c r="A8" s="105"/>
      <x:c r="B8" s="106"/>
      <x:c r="C8" s="107"/>
      <x:c r="D8" s="107"/>
      <x:c r="E8" s="106"/>
      <x:c r="F8" s="106"/>
      <x:c r="G8" s="107"/>
      <x:c r="H8" s="107"/>
      <x:c r="I8" s="108" t="str">
        <x:f>IF(OR(C8="",E8=""),"",ROUND(C8*E8,2))</x:f>
      </x:c>
      <x:c r="J8" s="108" t="str">
        <x:f>IF(I8="","",ROUND(I8+D8,2))</x:f>
      </x:c>
      <x:c r="K8" s="108" t="str">
        <x:f>IF(J8="","",MAX(ROUND(J8-H8,2),0))</x:f>
      </x:c>
      <x:c r="L8" s="108" t="str">
        <x:f>IF(A8="","",ROUND(E8*SETTINGS!$B$6,2))</x:f>
      </x:c>
      <x:c r="M8" s="108" t="str">
        <x:f>IF(A8="","",ROUND(K8*SETTINGS!$B$7,2))</x:f>
      </x:c>
      <x:c r="N8" s="108" t="str">
        <x:f>IF(A8="","",IF(K8&gt;0,ROUND(K8*SETTINGS!$B$8+SETTINGS!$B$9,2),0))</x:f>
      </x:c>
      <x:c r="O8" s="108" t="str">
        <x:f>IF(A8="","",IF(F8="Yes",ROUND(MIN(K8*SETTINGS!$B$13,SETTINGS!$B$14),2),0))</x:f>
      </x:c>
      <x:c r="P8" s="108" t="str">
        <x:f>IF(A8="","",ROUND(K8*SETTINGS!$B$15,2))</x:f>
      </x:c>
      <x:c r="Q8" s="108" t="str">
        <x:f>IF(A8="","",ROUND(SUM(L8:P8)+G8,2))</x:f>
      </x:c>
      <x:c r="R8" s="108" t="str">
        <x:f>IF(A8="","",ROUND(K8-Q8,2))</x:f>
      </x:c>
      <x:c r="S8" s="109" t="str">
        <x:f>IF(OR(A8="",K8=0),"",R8/K8)</x:f>
      </x:c>
      <x:c r="T8" s="110"/>
    </x:row>
    <x:row r="9" ht="23" customHeight="1">
      <x:c r="A9" s="105"/>
      <x:c r="B9" s="106"/>
      <x:c r="C9" s="107"/>
      <x:c r="D9" s="107"/>
      <x:c r="E9" s="106"/>
      <x:c r="F9" s="106"/>
      <x:c r="G9" s="107"/>
      <x:c r="H9" s="107"/>
      <x:c r="I9" s="108" t="str">
        <x:f>IF(OR(C9="",E9=""),"",ROUND(C9*E9,2))</x:f>
      </x:c>
      <x:c r="J9" s="108" t="str">
        <x:f>IF(I9="","",ROUND(I9+D9,2))</x:f>
      </x:c>
      <x:c r="K9" s="108" t="str">
        <x:f>IF(J9="","",MAX(ROUND(J9-H9,2),0))</x:f>
      </x:c>
      <x:c r="L9" s="108" t="str">
        <x:f>IF(A9="","",ROUND(E9*SETTINGS!$B$6,2))</x:f>
      </x:c>
      <x:c r="M9" s="108" t="str">
        <x:f>IF(A9="","",ROUND(K9*SETTINGS!$B$7,2))</x:f>
      </x:c>
      <x:c r="N9" s="108" t="str">
        <x:f>IF(A9="","",IF(K9&gt;0,ROUND(K9*SETTINGS!$B$8+SETTINGS!$B$9,2),0))</x:f>
      </x:c>
      <x:c r="O9" s="108" t="str">
        <x:f>IF(A9="","",IF(F9="Yes",ROUND(MIN(K9*SETTINGS!$B$13,SETTINGS!$B$14),2),0))</x:f>
      </x:c>
      <x:c r="P9" s="108" t="str">
        <x:f>IF(A9="","",ROUND(K9*SETTINGS!$B$15,2))</x:f>
      </x:c>
      <x:c r="Q9" s="108" t="str">
        <x:f>IF(A9="","",ROUND(SUM(L9:P9)+G9,2))</x:f>
      </x:c>
      <x:c r="R9" s="108" t="str">
        <x:f>IF(A9="","",ROUND(K9-Q9,2))</x:f>
      </x:c>
      <x:c r="S9" s="109" t="str">
        <x:f>IF(OR(A9="",K9=0),"",R9/K9)</x:f>
      </x:c>
      <x:c r="T9" s="110"/>
    </x:row>
    <x:row r="10" ht="23" customHeight="1">
      <x:c r="A10" s="105"/>
      <x:c r="B10" s="106"/>
      <x:c r="C10" s="107"/>
      <x:c r="D10" s="107"/>
      <x:c r="E10" s="106"/>
      <x:c r="F10" s="106"/>
      <x:c r="G10" s="107"/>
      <x:c r="H10" s="107"/>
      <x:c r="I10" s="108" t="str">
        <x:f>IF(OR(C10="",E10=""),"",ROUND(C10*E10,2))</x:f>
      </x:c>
      <x:c r="J10" s="108" t="str">
        <x:f>IF(I10="","",ROUND(I10+D10,2))</x:f>
      </x:c>
      <x:c r="K10" s="108" t="str">
        <x:f>IF(J10="","",MAX(ROUND(J10-H10,2),0))</x:f>
      </x:c>
      <x:c r="L10" s="108" t="str">
        <x:f>IF(A10="","",ROUND(E10*SETTINGS!$B$6,2))</x:f>
      </x:c>
      <x:c r="M10" s="108" t="str">
        <x:f>IF(A10="","",ROUND(K10*SETTINGS!$B$7,2))</x:f>
      </x:c>
      <x:c r="N10" s="108" t="str">
        <x:f>IF(A10="","",IF(K10&gt;0,ROUND(K10*SETTINGS!$B$8+SETTINGS!$B$9,2),0))</x:f>
      </x:c>
      <x:c r="O10" s="108" t="str">
        <x:f>IF(A10="","",IF(F10="Yes",ROUND(MIN(K10*SETTINGS!$B$13,SETTINGS!$B$14),2),0))</x:f>
      </x:c>
      <x:c r="P10" s="108" t="str">
        <x:f>IF(A10="","",ROUND(K10*SETTINGS!$B$15,2))</x:f>
      </x:c>
      <x:c r="Q10" s="108" t="str">
        <x:f>IF(A10="","",ROUND(SUM(L10:P10)+G10,2))</x:f>
      </x:c>
      <x:c r="R10" s="108" t="str">
        <x:f>IF(A10="","",ROUND(K10-Q10,2))</x:f>
      </x:c>
      <x:c r="S10" s="109" t="str">
        <x:f>IF(OR(A10="",K10=0),"",R10/K10)</x:f>
      </x:c>
      <x:c r="T10" s="110"/>
    </x:row>
    <x:row r="11" ht="23" customHeight="1">
      <x:c r="A11" s="105"/>
      <x:c r="B11" s="106"/>
      <x:c r="C11" s="107"/>
      <x:c r="D11" s="107"/>
      <x:c r="E11" s="106"/>
      <x:c r="F11" s="106"/>
      <x:c r="G11" s="107"/>
      <x:c r="H11" s="107"/>
      <x:c r="I11" s="108" t="str">
        <x:f>IF(OR(C11="",E11=""),"",ROUND(C11*E11,2))</x:f>
      </x:c>
      <x:c r="J11" s="108" t="str">
        <x:f>IF(I11="","",ROUND(I11+D11,2))</x:f>
      </x:c>
      <x:c r="K11" s="108" t="str">
        <x:f>IF(J11="","",MAX(ROUND(J11-H11,2),0))</x:f>
      </x:c>
      <x:c r="L11" s="108" t="str">
        <x:f>IF(A11="","",ROUND(E11*SETTINGS!$B$6,2))</x:f>
      </x:c>
      <x:c r="M11" s="108" t="str">
        <x:f>IF(A11="","",ROUND(K11*SETTINGS!$B$7,2))</x:f>
      </x:c>
      <x:c r="N11" s="108" t="str">
        <x:f>IF(A11="","",IF(K11&gt;0,ROUND(K11*SETTINGS!$B$8+SETTINGS!$B$9,2),0))</x:f>
      </x:c>
      <x:c r="O11" s="108" t="str">
        <x:f>IF(A11="","",IF(F11="Yes",ROUND(MIN(K11*SETTINGS!$B$13,SETTINGS!$B$14),2),0))</x:f>
      </x:c>
      <x:c r="P11" s="108" t="str">
        <x:f>IF(A11="","",ROUND(K11*SETTINGS!$B$15,2))</x:f>
      </x:c>
      <x:c r="Q11" s="108" t="str">
        <x:f>IF(A11="","",ROUND(SUM(L11:P11)+G11,2))</x:f>
      </x:c>
      <x:c r="R11" s="108" t="str">
        <x:f>IF(A11="","",ROUND(K11-Q11,2))</x:f>
      </x:c>
      <x:c r="S11" s="109" t="str">
        <x:f>IF(OR(A11="",K11=0),"",R11/K11)</x:f>
      </x:c>
      <x:c r="T11" s="110"/>
    </x:row>
    <x:row r="12" ht="23" customHeight="1">
      <x:c r="A12" s="105"/>
      <x:c r="B12" s="106"/>
      <x:c r="C12" s="107"/>
      <x:c r="D12" s="107"/>
      <x:c r="E12" s="106"/>
      <x:c r="F12" s="106"/>
      <x:c r="G12" s="107"/>
      <x:c r="H12" s="107"/>
      <x:c r="I12" s="108" t="str">
        <x:f>IF(OR(C12="",E12=""),"",ROUND(C12*E12,2))</x:f>
      </x:c>
      <x:c r="J12" s="108" t="str">
        <x:f>IF(I12="","",ROUND(I12+D12,2))</x:f>
      </x:c>
      <x:c r="K12" s="108" t="str">
        <x:f>IF(J12="","",MAX(ROUND(J12-H12,2),0))</x:f>
      </x:c>
      <x:c r="L12" s="108" t="str">
        <x:f>IF(A12="","",ROUND(E12*SETTINGS!$B$6,2))</x:f>
      </x:c>
      <x:c r="M12" s="108" t="str">
        <x:f>IF(A12="","",ROUND(K12*SETTINGS!$B$7,2))</x:f>
      </x:c>
      <x:c r="N12" s="108" t="str">
        <x:f>IF(A12="","",IF(K12&gt;0,ROUND(K12*SETTINGS!$B$8+SETTINGS!$B$9,2),0))</x:f>
      </x:c>
      <x:c r="O12" s="108" t="str">
        <x:f>IF(A12="","",IF(F12="Yes",ROUND(MIN(K12*SETTINGS!$B$13,SETTINGS!$B$14),2),0))</x:f>
      </x:c>
      <x:c r="P12" s="108" t="str">
        <x:f>IF(A12="","",ROUND(K12*SETTINGS!$B$15,2))</x:f>
      </x:c>
      <x:c r="Q12" s="108" t="str">
        <x:f>IF(A12="","",ROUND(SUM(L12:P12)+G12,2))</x:f>
      </x:c>
      <x:c r="R12" s="108" t="str">
        <x:f>IF(A12="","",ROUND(K12-Q12,2))</x:f>
      </x:c>
      <x:c r="S12" s="109" t="str">
        <x:f>IF(OR(A12="",K12=0),"",R12/K12)</x:f>
      </x:c>
      <x:c r="T12" s="110"/>
    </x:row>
    <x:row r="13" ht="23" customHeight="1">
      <x:c r="A13" s="105"/>
      <x:c r="B13" s="106"/>
      <x:c r="C13" s="107"/>
      <x:c r="D13" s="107"/>
      <x:c r="E13" s="106"/>
      <x:c r="F13" s="106"/>
      <x:c r="G13" s="107"/>
      <x:c r="H13" s="107"/>
      <x:c r="I13" s="108" t="str">
        <x:f>IF(OR(C13="",E13=""),"",ROUND(C13*E13,2))</x:f>
      </x:c>
      <x:c r="J13" s="108" t="str">
        <x:f>IF(I13="","",ROUND(I13+D13,2))</x:f>
      </x:c>
      <x:c r="K13" s="108" t="str">
        <x:f>IF(J13="","",MAX(ROUND(J13-H13,2),0))</x:f>
      </x:c>
      <x:c r="L13" s="108" t="str">
        <x:f>IF(A13="","",ROUND(E13*SETTINGS!$B$6,2))</x:f>
      </x:c>
      <x:c r="M13" s="108" t="str">
        <x:f>IF(A13="","",ROUND(K13*SETTINGS!$B$7,2))</x:f>
      </x:c>
      <x:c r="N13" s="108" t="str">
        <x:f>IF(A13="","",IF(K13&gt;0,ROUND(K13*SETTINGS!$B$8+SETTINGS!$B$9,2),0))</x:f>
      </x:c>
      <x:c r="O13" s="108" t="str">
        <x:f>IF(A13="","",IF(F13="Yes",ROUND(MIN(K13*SETTINGS!$B$13,SETTINGS!$B$14),2),0))</x:f>
      </x:c>
      <x:c r="P13" s="108" t="str">
        <x:f>IF(A13="","",ROUND(K13*SETTINGS!$B$15,2))</x:f>
      </x:c>
      <x:c r="Q13" s="108" t="str">
        <x:f>IF(A13="","",ROUND(SUM(L13:P13)+G13,2))</x:f>
      </x:c>
      <x:c r="R13" s="108" t="str">
        <x:f>IF(A13="","",ROUND(K13-Q13,2))</x:f>
      </x:c>
      <x:c r="S13" s="109" t="str">
        <x:f>IF(OR(A13="",K13=0),"",R13/K13)</x:f>
      </x:c>
      <x:c r="T13" s="110"/>
    </x:row>
    <x:row r="14" ht="23" customHeight="1">
      <x:c r="A14" s="105"/>
      <x:c r="B14" s="106"/>
      <x:c r="C14" s="107"/>
      <x:c r="D14" s="107"/>
      <x:c r="E14" s="106"/>
      <x:c r="F14" s="106"/>
      <x:c r="G14" s="107"/>
      <x:c r="H14" s="107"/>
      <x:c r="I14" s="108" t="str">
        <x:f>IF(OR(C14="",E14=""),"",ROUND(C14*E14,2))</x:f>
      </x:c>
      <x:c r="J14" s="108" t="str">
        <x:f>IF(I14="","",ROUND(I14+D14,2))</x:f>
      </x:c>
      <x:c r="K14" s="108" t="str">
        <x:f>IF(J14="","",MAX(ROUND(J14-H14,2),0))</x:f>
      </x:c>
      <x:c r="L14" s="108" t="str">
        <x:f>IF(A14="","",ROUND(E14*SETTINGS!$B$6,2))</x:f>
      </x:c>
      <x:c r="M14" s="108" t="str">
        <x:f>IF(A14="","",ROUND(K14*SETTINGS!$B$7,2))</x:f>
      </x:c>
      <x:c r="N14" s="108" t="str">
        <x:f>IF(A14="","",IF(K14&gt;0,ROUND(K14*SETTINGS!$B$8+SETTINGS!$B$9,2),0))</x:f>
      </x:c>
      <x:c r="O14" s="108" t="str">
        <x:f>IF(A14="","",IF(F14="Yes",ROUND(MIN(K14*SETTINGS!$B$13,SETTINGS!$B$14),2),0))</x:f>
      </x:c>
      <x:c r="P14" s="108" t="str">
        <x:f>IF(A14="","",ROUND(K14*SETTINGS!$B$15,2))</x:f>
      </x:c>
      <x:c r="Q14" s="108" t="str">
        <x:f>IF(A14="","",ROUND(SUM(L14:P14)+G14,2))</x:f>
      </x:c>
      <x:c r="R14" s="108" t="str">
        <x:f>IF(A14="","",ROUND(K14-Q14,2))</x:f>
      </x:c>
      <x:c r="S14" s="109" t="str">
        <x:f>IF(OR(A14="",K14=0),"",R14/K14)</x:f>
      </x:c>
      <x:c r="T14" s="110"/>
    </x:row>
    <x:row r="15" ht="23" customHeight="1">
      <x:c r="A15" s="105"/>
      <x:c r="B15" s="106"/>
      <x:c r="C15" s="107"/>
      <x:c r="D15" s="107"/>
      <x:c r="E15" s="106"/>
      <x:c r="F15" s="106"/>
      <x:c r="G15" s="107"/>
      <x:c r="H15" s="107"/>
      <x:c r="I15" s="108" t="str">
        <x:f>IF(OR(C15="",E15=""),"",ROUND(C15*E15,2))</x:f>
      </x:c>
      <x:c r="J15" s="108" t="str">
        <x:f>IF(I15="","",ROUND(I15+D15,2))</x:f>
      </x:c>
      <x:c r="K15" s="108" t="str">
        <x:f>IF(J15="","",MAX(ROUND(J15-H15,2),0))</x:f>
      </x:c>
      <x:c r="L15" s="108" t="str">
        <x:f>IF(A15="","",ROUND(E15*SETTINGS!$B$6,2))</x:f>
      </x:c>
      <x:c r="M15" s="108" t="str">
        <x:f>IF(A15="","",ROUND(K15*SETTINGS!$B$7,2))</x:f>
      </x:c>
      <x:c r="N15" s="108" t="str">
        <x:f>IF(A15="","",IF(K15&gt;0,ROUND(K15*SETTINGS!$B$8+SETTINGS!$B$9,2),0))</x:f>
      </x:c>
      <x:c r="O15" s="108" t="str">
        <x:f>IF(A15="","",IF(F15="Yes",ROUND(MIN(K15*SETTINGS!$B$13,SETTINGS!$B$14),2),0))</x:f>
      </x:c>
      <x:c r="P15" s="108" t="str">
        <x:f>IF(A15="","",ROUND(K15*SETTINGS!$B$15,2))</x:f>
      </x:c>
      <x:c r="Q15" s="108" t="str">
        <x:f>IF(A15="","",ROUND(SUM(L15:P15)+G15,2))</x:f>
      </x:c>
      <x:c r="R15" s="108" t="str">
        <x:f>IF(A15="","",ROUND(K15-Q15,2))</x:f>
      </x:c>
      <x:c r="S15" s="109" t="str">
        <x:f>IF(OR(A15="",K15=0),"",R15/K15)</x:f>
      </x:c>
      <x:c r="T15" s="110"/>
    </x:row>
    <x:row r="16" ht="23" customHeight="1">
      <x:c r="A16" s="105"/>
      <x:c r="B16" s="106"/>
      <x:c r="C16" s="107"/>
      <x:c r="D16" s="107"/>
      <x:c r="E16" s="106"/>
      <x:c r="F16" s="106"/>
      <x:c r="G16" s="107"/>
      <x:c r="H16" s="107"/>
      <x:c r="I16" s="108" t="str">
        <x:f>IF(OR(C16="",E16=""),"",ROUND(C16*E16,2))</x:f>
      </x:c>
      <x:c r="J16" s="108" t="str">
        <x:f>IF(I16="","",ROUND(I16+D16,2))</x:f>
      </x:c>
      <x:c r="K16" s="108" t="str">
        <x:f>IF(J16="","",MAX(ROUND(J16-H16,2),0))</x:f>
      </x:c>
      <x:c r="L16" s="108" t="str">
        <x:f>IF(A16="","",ROUND(E16*SETTINGS!$B$6,2))</x:f>
      </x:c>
      <x:c r="M16" s="108" t="str">
        <x:f>IF(A16="","",ROUND(K16*SETTINGS!$B$7,2))</x:f>
      </x:c>
      <x:c r="N16" s="108" t="str">
        <x:f>IF(A16="","",IF(K16&gt;0,ROUND(K16*SETTINGS!$B$8+SETTINGS!$B$9,2),0))</x:f>
      </x:c>
      <x:c r="O16" s="108" t="str">
        <x:f>IF(A16="","",IF(F16="Yes",ROUND(MIN(K16*SETTINGS!$B$13,SETTINGS!$B$14),2),0))</x:f>
      </x:c>
      <x:c r="P16" s="108" t="str">
        <x:f>IF(A16="","",ROUND(K16*SETTINGS!$B$15,2))</x:f>
      </x:c>
      <x:c r="Q16" s="108" t="str">
        <x:f>IF(A16="","",ROUND(SUM(L16:P16)+G16,2))</x:f>
      </x:c>
      <x:c r="R16" s="108" t="str">
        <x:f>IF(A16="","",ROUND(K16-Q16,2))</x:f>
      </x:c>
      <x:c r="S16" s="109" t="str">
        <x:f>IF(OR(A16="",K16=0),"",R16/K16)</x:f>
      </x:c>
      <x:c r="T16" s="110"/>
    </x:row>
    <x:row r="17" ht="23" customHeight="1">
      <x:c r="A17" s="105"/>
      <x:c r="B17" s="106"/>
      <x:c r="C17" s="107"/>
      <x:c r="D17" s="107"/>
      <x:c r="E17" s="106"/>
      <x:c r="F17" s="106"/>
      <x:c r="G17" s="107"/>
      <x:c r="H17" s="107"/>
      <x:c r="I17" s="108" t="str">
        <x:f>IF(OR(C17="",E17=""),"",ROUND(C17*E17,2))</x:f>
      </x:c>
      <x:c r="J17" s="108" t="str">
        <x:f>IF(I17="","",ROUND(I17+D17,2))</x:f>
      </x:c>
      <x:c r="K17" s="108" t="str">
        <x:f>IF(J17="","",MAX(ROUND(J17-H17,2),0))</x:f>
      </x:c>
      <x:c r="L17" s="108" t="str">
        <x:f>IF(A17="","",ROUND(E17*SETTINGS!$B$6,2))</x:f>
      </x:c>
      <x:c r="M17" s="108" t="str">
        <x:f>IF(A17="","",ROUND(K17*SETTINGS!$B$7,2))</x:f>
      </x:c>
      <x:c r="N17" s="108" t="str">
        <x:f>IF(A17="","",IF(K17&gt;0,ROUND(K17*SETTINGS!$B$8+SETTINGS!$B$9,2),0))</x:f>
      </x:c>
      <x:c r="O17" s="108" t="str">
        <x:f>IF(A17="","",IF(F17="Yes",ROUND(MIN(K17*SETTINGS!$B$13,SETTINGS!$B$14),2),0))</x:f>
      </x:c>
      <x:c r="P17" s="108" t="str">
        <x:f>IF(A17="","",ROUND(K17*SETTINGS!$B$15,2))</x:f>
      </x:c>
      <x:c r="Q17" s="108" t="str">
        <x:f>IF(A17="","",ROUND(SUM(L17:P17)+G17,2))</x:f>
      </x:c>
      <x:c r="R17" s="108" t="str">
        <x:f>IF(A17="","",ROUND(K17-Q17,2))</x:f>
      </x:c>
      <x:c r="S17" s="109" t="str">
        <x:f>IF(OR(A17="",K17=0),"",R17/K17)</x:f>
      </x:c>
      <x:c r="T17" s="110"/>
    </x:row>
    <x:row r="18" ht="23" customHeight="1">
      <x:c r="A18" s="105"/>
      <x:c r="B18" s="106"/>
      <x:c r="C18" s="107"/>
      <x:c r="D18" s="107"/>
      <x:c r="E18" s="106"/>
      <x:c r="F18" s="106"/>
      <x:c r="G18" s="107"/>
      <x:c r="H18" s="107"/>
      <x:c r="I18" s="108" t="str">
        <x:f>IF(OR(C18="",E18=""),"",ROUND(C18*E18,2))</x:f>
      </x:c>
      <x:c r="J18" s="108" t="str">
        <x:f>IF(I18="","",ROUND(I18+D18,2))</x:f>
      </x:c>
      <x:c r="K18" s="108" t="str">
        <x:f>IF(J18="","",MAX(ROUND(J18-H18,2),0))</x:f>
      </x:c>
      <x:c r="L18" s="108" t="str">
        <x:f>IF(A18="","",ROUND(E18*SETTINGS!$B$6,2))</x:f>
      </x:c>
      <x:c r="M18" s="108" t="str">
        <x:f>IF(A18="","",ROUND(K18*SETTINGS!$B$7,2))</x:f>
      </x:c>
      <x:c r="N18" s="108" t="str">
        <x:f>IF(A18="","",IF(K18&gt;0,ROUND(K18*SETTINGS!$B$8+SETTINGS!$B$9,2),0))</x:f>
      </x:c>
      <x:c r="O18" s="108" t="str">
        <x:f>IF(A18="","",IF(F18="Yes",ROUND(MIN(K18*SETTINGS!$B$13,SETTINGS!$B$14),2),0))</x:f>
      </x:c>
      <x:c r="P18" s="108" t="str">
        <x:f>IF(A18="","",ROUND(K18*SETTINGS!$B$15,2))</x:f>
      </x:c>
      <x:c r="Q18" s="108" t="str">
        <x:f>IF(A18="","",ROUND(SUM(L18:P18)+G18,2))</x:f>
      </x:c>
      <x:c r="R18" s="108" t="str">
        <x:f>IF(A18="","",ROUND(K18-Q18,2))</x:f>
      </x:c>
      <x:c r="S18" s="109" t="str">
        <x:f>IF(OR(A18="",K18=0),"",R18/K18)</x:f>
      </x:c>
      <x:c r="T18" s="110"/>
    </x:row>
    <x:row r="19" ht="23" customHeight="1">
      <x:c r="A19" s="105"/>
      <x:c r="B19" s="106"/>
      <x:c r="C19" s="107"/>
      <x:c r="D19" s="107"/>
      <x:c r="E19" s="106"/>
      <x:c r="F19" s="106"/>
      <x:c r="G19" s="107"/>
      <x:c r="H19" s="107"/>
      <x:c r="I19" s="108" t="str">
        <x:f>IF(OR(C19="",E19=""),"",ROUND(C19*E19,2))</x:f>
      </x:c>
      <x:c r="J19" s="108" t="str">
        <x:f>IF(I19="","",ROUND(I19+D19,2))</x:f>
      </x:c>
      <x:c r="K19" s="108" t="str">
        <x:f>IF(J19="","",MAX(ROUND(J19-H19,2),0))</x:f>
      </x:c>
      <x:c r="L19" s="108" t="str">
        <x:f>IF(A19="","",ROUND(E19*SETTINGS!$B$6,2))</x:f>
      </x:c>
      <x:c r="M19" s="108" t="str">
        <x:f>IF(A19="","",ROUND(K19*SETTINGS!$B$7,2))</x:f>
      </x:c>
      <x:c r="N19" s="108" t="str">
        <x:f>IF(A19="","",IF(K19&gt;0,ROUND(K19*SETTINGS!$B$8+SETTINGS!$B$9,2),0))</x:f>
      </x:c>
      <x:c r="O19" s="108" t="str">
        <x:f>IF(A19="","",IF(F19="Yes",ROUND(MIN(K19*SETTINGS!$B$13,SETTINGS!$B$14),2),0))</x:f>
      </x:c>
      <x:c r="P19" s="108" t="str">
        <x:f>IF(A19="","",ROUND(K19*SETTINGS!$B$15,2))</x:f>
      </x:c>
      <x:c r="Q19" s="108" t="str">
        <x:f>IF(A19="","",ROUND(SUM(L19:P19)+G19,2))</x:f>
      </x:c>
      <x:c r="R19" s="108" t="str">
        <x:f>IF(A19="","",ROUND(K19-Q19,2))</x:f>
      </x:c>
      <x:c r="S19" s="109" t="str">
        <x:f>IF(OR(A19="",K19=0),"",R19/K19)</x:f>
      </x:c>
      <x:c r="T19" s="110"/>
    </x:row>
    <x:row r="20" ht="23" customHeight="1">
      <x:c r="A20" s="105"/>
      <x:c r="B20" s="106"/>
      <x:c r="C20" s="107"/>
      <x:c r="D20" s="107"/>
      <x:c r="E20" s="106"/>
      <x:c r="F20" s="106"/>
      <x:c r="G20" s="107"/>
      <x:c r="H20" s="107"/>
      <x:c r="I20" s="108" t="str">
        <x:f>IF(OR(C20="",E20=""),"",ROUND(C20*E20,2))</x:f>
      </x:c>
      <x:c r="J20" s="108" t="str">
        <x:f>IF(I20="","",ROUND(I20+D20,2))</x:f>
      </x:c>
      <x:c r="K20" s="108" t="str">
        <x:f>IF(J20="","",MAX(ROUND(J20-H20,2),0))</x:f>
      </x:c>
      <x:c r="L20" s="108" t="str">
        <x:f>IF(A20="","",ROUND(E20*SETTINGS!$B$6,2))</x:f>
      </x:c>
      <x:c r="M20" s="108" t="str">
        <x:f>IF(A20="","",ROUND(K20*SETTINGS!$B$7,2))</x:f>
      </x:c>
      <x:c r="N20" s="108" t="str">
        <x:f>IF(A20="","",IF(K20&gt;0,ROUND(K20*SETTINGS!$B$8+SETTINGS!$B$9,2),0))</x:f>
      </x:c>
      <x:c r="O20" s="108" t="str">
        <x:f>IF(A20="","",IF(F20="Yes",ROUND(MIN(K20*SETTINGS!$B$13,SETTINGS!$B$14),2),0))</x:f>
      </x:c>
      <x:c r="P20" s="108" t="str">
        <x:f>IF(A20="","",ROUND(K20*SETTINGS!$B$15,2))</x:f>
      </x:c>
      <x:c r="Q20" s="108" t="str">
        <x:f>IF(A20="","",ROUND(SUM(L20:P20)+G20,2))</x:f>
      </x:c>
      <x:c r="R20" s="108" t="str">
        <x:f>IF(A20="","",ROUND(K20-Q20,2))</x:f>
      </x:c>
      <x:c r="S20" s="109" t="str">
        <x:f>IF(OR(A20="",K20=0),"",R20/K20)</x:f>
      </x:c>
      <x:c r="T20" s="110"/>
    </x:row>
    <x:row r="21" ht="23" customHeight="1">
      <x:c r="A21" s="105"/>
      <x:c r="B21" s="106"/>
      <x:c r="C21" s="107"/>
      <x:c r="D21" s="107"/>
      <x:c r="E21" s="106"/>
      <x:c r="F21" s="106"/>
      <x:c r="G21" s="107"/>
      <x:c r="H21" s="107"/>
      <x:c r="I21" s="108" t="str">
        <x:f>IF(OR(C21="",E21=""),"",ROUND(C21*E21,2))</x:f>
      </x:c>
      <x:c r="J21" s="108" t="str">
        <x:f>IF(I21="","",ROUND(I21+D21,2))</x:f>
      </x:c>
      <x:c r="K21" s="108" t="str">
        <x:f>IF(J21="","",MAX(ROUND(J21-H21,2),0))</x:f>
      </x:c>
      <x:c r="L21" s="108" t="str">
        <x:f>IF(A21="","",ROUND(E21*SETTINGS!$B$6,2))</x:f>
      </x:c>
      <x:c r="M21" s="108" t="str">
        <x:f>IF(A21="","",ROUND(K21*SETTINGS!$B$7,2))</x:f>
      </x:c>
      <x:c r="N21" s="108" t="str">
        <x:f>IF(A21="","",IF(K21&gt;0,ROUND(K21*SETTINGS!$B$8+SETTINGS!$B$9,2),0))</x:f>
      </x:c>
      <x:c r="O21" s="108" t="str">
        <x:f>IF(A21="","",IF(F21="Yes",ROUND(MIN(K21*SETTINGS!$B$13,SETTINGS!$B$14),2),0))</x:f>
      </x:c>
      <x:c r="P21" s="108" t="str">
        <x:f>IF(A21="","",ROUND(K21*SETTINGS!$B$15,2))</x:f>
      </x:c>
      <x:c r="Q21" s="108" t="str">
        <x:f>IF(A21="","",ROUND(SUM(L21:P21)+G21,2))</x:f>
      </x:c>
      <x:c r="R21" s="108" t="str">
        <x:f>IF(A21="","",ROUND(K21-Q21,2))</x:f>
      </x:c>
      <x:c r="S21" s="109" t="str">
        <x:f>IF(OR(A21="",K21=0),"",R21/K21)</x:f>
      </x:c>
      <x:c r="T21" s="110"/>
    </x:row>
    <x:row r="22" ht="23" customHeight="1">
      <x:c r="A22" s="105"/>
      <x:c r="B22" s="106"/>
      <x:c r="C22" s="107"/>
      <x:c r="D22" s="107"/>
      <x:c r="E22" s="106"/>
      <x:c r="F22" s="106"/>
      <x:c r="G22" s="107"/>
      <x:c r="H22" s="107"/>
      <x:c r="I22" s="108" t="str">
        <x:f>IF(OR(C22="",E22=""),"",ROUND(C22*E22,2))</x:f>
      </x:c>
      <x:c r="J22" s="108" t="str">
        <x:f>IF(I22="","",ROUND(I22+D22,2))</x:f>
      </x:c>
      <x:c r="K22" s="108" t="str">
        <x:f>IF(J22="","",MAX(ROUND(J22-H22,2),0))</x:f>
      </x:c>
      <x:c r="L22" s="108" t="str">
        <x:f>IF(A22="","",ROUND(E22*SETTINGS!$B$6,2))</x:f>
      </x:c>
      <x:c r="M22" s="108" t="str">
        <x:f>IF(A22="","",ROUND(K22*SETTINGS!$B$7,2))</x:f>
      </x:c>
      <x:c r="N22" s="108" t="str">
        <x:f>IF(A22="","",IF(K22&gt;0,ROUND(K22*SETTINGS!$B$8+SETTINGS!$B$9,2),0))</x:f>
      </x:c>
      <x:c r="O22" s="108" t="str">
        <x:f>IF(A22="","",IF(F22="Yes",ROUND(MIN(K22*SETTINGS!$B$13,SETTINGS!$B$14),2),0))</x:f>
      </x:c>
      <x:c r="P22" s="108" t="str">
        <x:f>IF(A22="","",ROUND(K22*SETTINGS!$B$15,2))</x:f>
      </x:c>
      <x:c r="Q22" s="108" t="str">
        <x:f>IF(A22="","",ROUND(SUM(L22:P22)+G22,2))</x:f>
      </x:c>
      <x:c r="R22" s="108" t="str">
        <x:f>IF(A22="","",ROUND(K22-Q22,2))</x:f>
      </x:c>
      <x:c r="S22" s="109" t="str">
        <x:f>IF(OR(A22="",K22=0),"",R22/K22)</x:f>
      </x:c>
      <x:c r="T22" s="110"/>
    </x:row>
    <x:row r="23" ht="23" customHeight="1">
      <x:c r="A23" s="105"/>
      <x:c r="B23" s="106"/>
      <x:c r="C23" s="107"/>
      <x:c r="D23" s="107"/>
      <x:c r="E23" s="106"/>
      <x:c r="F23" s="106"/>
      <x:c r="G23" s="107"/>
      <x:c r="H23" s="107"/>
      <x:c r="I23" s="108" t="str">
        <x:f>IF(OR(C23="",E23=""),"",ROUND(C23*E23,2))</x:f>
      </x:c>
      <x:c r="J23" s="108" t="str">
        <x:f>IF(I23="","",ROUND(I23+D23,2))</x:f>
      </x:c>
      <x:c r="K23" s="108" t="str">
        <x:f>IF(J23="","",MAX(ROUND(J23-H23,2),0))</x:f>
      </x:c>
      <x:c r="L23" s="108" t="str">
        <x:f>IF(A23="","",ROUND(E23*SETTINGS!$B$6,2))</x:f>
      </x:c>
      <x:c r="M23" s="108" t="str">
        <x:f>IF(A23="","",ROUND(K23*SETTINGS!$B$7,2))</x:f>
      </x:c>
      <x:c r="N23" s="108" t="str">
        <x:f>IF(A23="","",IF(K23&gt;0,ROUND(K23*SETTINGS!$B$8+SETTINGS!$B$9,2),0))</x:f>
      </x:c>
      <x:c r="O23" s="108" t="str">
        <x:f>IF(A23="","",IF(F23="Yes",ROUND(MIN(K23*SETTINGS!$B$13,SETTINGS!$B$14),2),0))</x:f>
      </x:c>
      <x:c r="P23" s="108" t="str">
        <x:f>IF(A23="","",ROUND(K23*SETTINGS!$B$15,2))</x:f>
      </x:c>
      <x:c r="Q23" s="108" t="str">
        <x:f>IF(A23="","",ROUND(SUM(L23:P23)+G23,2))</x:f>
      </x:c>
      <x:c r="R23" s="108" t="str">
        <x:f>IF(A23="","",ROUND(K23-Q23,2))</x:f>
      </x:c>
      <x:c r="S23" s="109" t="str">
        <x:f>IF(OR(A23="",K23=0),"",R23/K23)</x:f>
      </x:c>
      <x:c r="T23" s="110"/>
    </x:row>
    <x:row r="24" ht="23" customHeight="1">
      <x:c r="A24" s="105"/>
      <x:c r="B24" s="106"/>
      <x:c r="C24" s="107"/>
      <x:c r="D24" s="107"/>
      <x:c r="E24" s="106"/>
      <x:c r="F24" s="106"/>
      <x:c r="G24" s="107"/>
      <x:c r="H24" s="107"/>
      <x:c r="I24" s="108" t="str">
        <x:f>IF(OR(C24="",E24=""),"",ROUND(C24*E24,2))</x:f>
      </x:c>
      <x:c r="J24" s="108" t="str">
        <x:f>IF(I24="","",ROUND(I24+D24,2))</x:f>
      </x:c>
      <x:c r="K24" s="108" t="str">
        <x:f>IF(J24="","",MAX(ROUND(J24-H24,2),0))</x:f>
      </x:c>
      <x:c r="L24" s="108" t="str">
        <x:f>IF(A24="","",ROUND(E24*SETTINGS!$B$6,2))</x:f>
      </x:c>
      <x:c r="M24" s="108" t="str">
        <x:f>IF(A24="","",ROUND(K24*SETTINGS!$B$7,2))</x:f>
      </x:c>
      <x:c r="N24" s="108" t="str">
        <x:f>IF(A24="","",IF(K24&gt;0,ROUND(K24*SETTINGS!$B$8+SETTINGS!$B$9,2),0))</x:f>
      </x:c>
      <x:c r="O24" s="108" t="str">
        <x:f>IF(A24="","",IF(F24="Yes",ROUND(MIN(K24*SETTINGS!$B$13,SETTINGS!$B$14),2),0))</x:f>
      </x:c>
      <x:c r="P24" s="108" t="str">
        <x:f>IF(A24="","",ROUND(K24*SETTINGS!$B$15,2))</x:f>
      </x:c>
      <x:c r="Q24" s="108" t="str">
        <x:f>IF(A24="","",ROUND(SUM(L24:P24)+G24,2))</x:f>
      </x:c>
      <x:c r="R24" s="108" t="str">
        <x:f>IF(A24="","",ROUND(K24-Q24,2))</x:f>
      </x:c>
      <x:c r="S24" s="109" t="str">
        <x:f>IF(OR(A24="",K24=0),"",R24/K24)</x:f>
      </x:c>
      <x:c r="T24" s="110"/>
    </x:row>
    <x:row r="25" ht="23" customHeight="1">
      <x:c r="A25" s="105"/>
      <x:c r="B25" s="106"/>
      <x:c r="C25" s="107"/>
      <x:c r="D25" s="107"/>
      <x:c r="E25" s="106"/>
      <x:c r="F25" s="106"/>
      <x:c r="G25" s="107"/>
      <x:c r="H25" s="107"/>
      <x:c r="I25" s="108" t="str">
        <x:f>IF(OR(C25="",E25=""),"",ROUND(C25*E25,2))</x:f>
      </x:c>
      <x:c r="J25" s="108" t="str">
        <x:f>IF(I25="","",ROUND(I25+D25,2))</x:f>
      </x:c>
      <x:c r="K25" s="108" t="str">
        <x:f>IF(J25="","",MAX(ROUND(J25-H25,2),0))</x:f>
      </x:c>
      <x:c r="L25" s="108" t="str">
        <x:f>IF(A25="","",ROUND(E25*SETTINGS!$B$6,2))</x:f>
      </x:c>
      <x:c r="M25" s="108" t="str">
        <x:f>IF(A25="","",ROUND(K25*SETTINGS!$B$7,2))</x:f>
      </x:c>
      <x:c r="N25" s="108" t="str">
        <x:f>IF(A25="","",IF(K25&gt;0,ROUND(K25*SETTINGS!$B$8+SETTINGS!$B$9,2),0))</x:f>
      </x:c>
      <x:c r="O25" s="108" t="str">
        <x:f>IF(A25="","",IF(F25="Yes",ROUND(MIN(K25*SETTINGS!$B$13,SETTINGS!$B$14),2),0))</x:f>
      </x:c>
      <x:c r="P25" s="108" t="str">
        <x:f>IF(A25="","",ROUND(K25*SETTINGS!$B$15,2))</x:f>
      </x:c>
      <x:c r="Q25" s="108" t="str">
        <x:f>IF(A25="","",ROUND(SUM(L25:P25)+G25,2))</x:f>
      </x:c>
      <x:c r="R25" s="108" t="str">
        <x:f>IF(A25="","",ROUND(K25-Q25,2))</x:f>
      </x:c>
      <x:c r="S25" s="109" t="str">
        <x:f>IF(OR(A25="",K25=0),"",R25/K25)</x:f>
      </x:c>
      <x:c r="T25" s="110"/>
    </x:row>
    <x:row r="26" ht="23" customHeight="1">
      <x:c r="A26" s="105"/>
      <x:c r="B26" s="106"/>
      <x:c r="C26" s="107"/>
      <x:c r="D26" s="107"/>
      <x:c r="E26" s="106"/>
      <x:c r="F26" s="106"/>
      <x:c r="G26" s="107"/>
      <x:c r="H26" s="107"/>
      <x:c r="I26" s="108" t="str">
        <x:f>IF(OR(C26="",E26=""),"",ROUND(C26*E26,2))</x:f>
      </x:c>
      <x:c r="J26" s="108" t="str">
        <x:f>IF(I26="","",ROUND(I26+D26,2))</x:f>
      </x:c>
      <x:c r="K26" s="108" t="str">
        <x:f>IF(J26="","",MAX(ROUND(J26-H26,2),0))</x:f>
      </x:c>
      <x:c r="L26" s="108" t="str">
        <x:f>IF(A26="","",ROUND(E26*SETTINGS!$B$6,2))</x:f>
      </x:c>
      <x:c r="M26" s="108" t="str">
        <x:f>IF(A26="","",ROUND(K26*SETTINGS!$B$7,2))</x:f>
      </x:c>
      <x:c r="N26" s="108" t="str">
        <x:f>IF(A26="","",IF(K26&gt;0,ROUND(K26*SETTINGS!$B$8+SETTINGS!$B$9,2),0))</x:f>
      </x:c>
      <x:c r="O26" s="108" t="str">
        <x:f>IF(A26="","",IF(F26="Yes",ROUND(MIN(K26*SETTINGS!$B$13,SETTINGS!$B$14),2),0))</x:f>
      </x:c>
      <x:c r="P26" s="108" t="str">
        <x:f>IF(A26="","",ROUND(K26*SETTINGS!$B$15,2))</x:f>
      </x:c>
      <x:c r="Q26" s="108" t="str">
        <x:f>IF(A26="","",ROUND(SUM(L26:P26)+G26,2))</x:f>
      </x:c>
      <x:c r="R26" s="108" t="str">
        <x:f>IF(A26="","",ROUND(K26-Q26,2))</x:f>
      </x:c>
      <x:c r="S26" s="109" t="str">
        <x:f>IF(OR(A26="",K26=0),"",R26/K26)</x:f>
      </x:c>
      <x:c r="T26" s="110"/>
    </x:row>
    <x:row r="27" ht="23" customHeight="1">
      <x:c r="A27" s="105"/>
      <x:c r="B27" s="106"/>
      <x:c r="C27" s="107"/>
      <x:c r="D27" s="107"/>
      <x:c r="E27" s="106"/>
      <x:c r="F27" s="106"/>
      <x:c r="G27" s="107"/>
      <x:c r="H27" s="107"/>
      <x:c r="I27" s="108" t="str">
        <x:f>IF(OR(C27="",E27=""),"",ROUND(C27*E27,2))</x:f>
      </x:c>
      <x:c r="J27" s="108" t="str">
        <x:f>IF(I27="","",ROUND(I27+D27,2))</x:f>
      </x:c>
      <x:c r="K27" s="108" t="str">
        <x:f>IF(J27="","",MAX(ROUND(J27-H27,2),0))</x:f>
      </x:c>
      <x:c r="L27" s="108" t="str">
        <x:f>IF(A27="","",ROUND(E27*SETTINGS!$B$6,2))</x:f>
      </x:c>
      <x:c r="M27" s="108" t="str">
        <x:f>IF(A27="","",ROUND(K27*SETTINGS!$B$7,2))</x:f>
      </x:c>
      <x:c r="N27" s="108" t="str">
        <x:f>IF(A27="","",IF(K27&gt;0,ROUND(K27*SETTINGS!$B$8+SETTINGS!$B$9,2),0))</x:f>
      </x:c>
      <x:c r="O27" s="108" t="str">
        <x:f>IF(A27="","",IF(F27="Yes",ROUND(MIN(K27*SETTINGS!$B$13,SETTINGS!$B$14),2),0))</x:f>
      </x:c>
      <x:c r="P27" s="108" t="str">
        <x:f>IF(A27="","",ROUND(K27*SETTINGS!$B$15,2))</x:f>
      </x:c>
      <x:c r="Q27" s="108" t="str">
        <x:f>IF(A27="","",ROUND(SUM(L27:P27)+G27,2))</x:f>
      </x:c>
      <x:c r="R27" s="108" t="str">
        <x:f>IF(A27="","",ROUND(K27-Q27,2))</x:f>
      </x:c>
      <x:c r="S27" s="109" t="str">
        <x:f>IF(OR(A27="",K27=0),"",R27/K27)</x:f>
      </x:c>
      <x:c r="T27" s="110"/>
    </x:row>
    <x:row r="28" ht="23" customHeight="1">
      <x:c r="A28" s="105"/>
      <x:c r="B28" s="106"/>
      <x:c r="C28" s="107"/>
      <x:c r="D28" s="107"/>
      <x:c r="E28" s="106"/>
      <x:c r="F28" s="106"/>
      <x:c r="G28" s="107"/>
      <x:c r="H28" s="107"/>
      <x:c r="I28" s="108" t="str">
        <x:f>IF(OR(C28="",E28=""),"",ROUND(C28*E28,2))</x:f>
      </x:c>
      <x:c r="J28" s="108" t="str">
        <x:f>IF(I28="","",ROUND(I28+D28,2))</x:f>
      </x:c>
      <x:c r="K28" s="108" t="str">
        <x:f>IF(J28="","",MAX(ROUND(J28-H28,2),0))</x:f>
      </x:c>
      <x:c r="L28" s="108" t="str">
        <x:f>IF(A28="","",ROUND(E28*SETTINGS!$B$6,2))</x:f>
      </x:c>
      <x:c r="M28" s="108" t="str">
        <x:f>IF(A28="","",ROUND(K28*SETTINGS!$B$7,2))</x:f>
      </x:c>
      <x:c r="N28" s="108" t="str">
        <x:f>IF(A28="","",IF(K28&gt;0,ROUND(K28*SETTINGS!$B$8+SETTINGS!$B$9,2),0))</x:f>
      </x:c>
      <x:c r="O28" s="108" t="str">
        <x:f>IF(A28="","",IF(F28="Yes",ROUND(MIN(K28*SETTINGS!$B$13,SETTINGS!$B$14),2),0))</x:f>
      </x:c>
      <x:c r="P28" s="108" t="str">
        <x:f>IF(A28="","",ROUND(K28*SETTINGS!$B$15,2))</x:f>
      </x:c>
      <x:c r="Q28" s="108" t="str">
        <x:f>IF(A28="","",ROUND(SUM(L28:P28)+G28,2))</x:f>
      </x:c>
      <x:c r="R28" s="108" t="str">
        <x:f>IF(A28="","",ROUND(K28-Q28,2))</x:f>
      </x:c>
      <x:c r="S28" s="109" t="str">
        <x:f>IF(OR(A28="",K28=0),"",R28/K28)</x:f>
      </x:c>
      <x:c r="T28" s="110"/>
    </x:row>
    <x:row r="29" ht="23" customHeight="1">
      <x:c r="A29" s="105"/>
      <x:c r="B29" s="106"/>
      <x:c r="C29" s="107"/>
      <x:c r="D29" s="107"/>
      <x:c r="E29" s="106"/>
      <x:c r="F29" s="106"/>
      <x:c r="G29" s="107"/>
      <x:c r="H29" s="107"/>
      <x:c r="I29" s="108" t="str">
        <x:f>IF(OR(C29="",E29=""),"",ROUND(C29*E29,2))</x:f>
      </x:c>
      <x:c r="J29" s="108" t="str">
        <x:f>IF(I29="","",ROUND(I29+D29,2))</x:f>
      </x:c>
      <x:c r="K29" s="108" t="str">
        <x:f>IF(J29="","",MAX(ROUND(J29-H29,2),0))</x:f>
      </x:c>
      <x:c r="L29" s="108" t="str">
        <x:f>IF(A29="","",ROUND(E29*SETTINGS!$B$6,2))</x:f>
      </x:c>
      <x:c r="M29" s="108" t="str">
        <x:f>IF(A29="","",ROUND(K29*SETTINGS!$B$7,2))</x:f>
      </x:c>
      <x:c r="N29" s="108" t="str">
        <x:f>IF(A29="","",IF(K29&gt;0,ROUND(K29*SETTINGS!$B$8+SETTINGS!$B$9,2),0))</x:f>
      </x:c>
      <x:c r="O29" s="108" t="str">
        <x:f>IF(A29="","",IF(F29="Yes",ROUND(MIN(K29*SETTINGS!$B$13,SETTINGS!$B$14),2),0))</x:f>
      </x:c>
      <x:c r="P29" s="108" t="str">
        <x:f>IF(A29="","",ROUND(K29*SETTINGS!$B$15,2))</x:f>
      </x:c>
      <x:c r="Q29" s="108" t="str">
        <x:f>IF(A29="","",ROUND(SUM(L29:P29)+G29,2))</x:f>
      </x:c>
      <x:c r="R29" s="108" t="str">
        <x:f>IF(A29="","",ROUND(K29-Q29,2))</x:f>
      </x:c>
      <x:c r="S29" s="109" t="str">
        <x:f>IF(OR(A29="",K29=0),"",R29/K29)</x:f>
      </x:c>
      <x:c r="T29" s="110"/>
    </x:row>
    <x:row r="30" ht="23" customHeight="1">
      <x:c r="A30" s="105"/>
      <x:c r="B30" s="106"/>
      <x:c r="C30" s="107"/>
      <x:c r="D30" s="107"/>
      <x:c r="E30" s="106"/>
      <x:c r="F30" s="106"/>
      <x:c r="G30" s="107"/>
      <x:c r="H30" s="107"/>
      <x:c r="I30" s="108" t="str">
        <x:f>IF(OR(C30="",E30=""),"",ROUND(C30*E30,2))</x:f>
      </x:c>
      <x:c r="J30" s="108" t="str">
        <x:f>IF(I30="","",ROUND(I30+D30,2))</x:f>
      </x:c>
      <x:c r="K30" s="108" t="str">
        <x:f>IF(J30="","",MAX(ROUND(J30-H30,2),0))</x:f>
      </x:c>
      <x:c r="L30" s="108" t="str">
        <x:f>IF(A30="","",ROUND(E30*SETTINGS!$B$6,2))</x:f>
      </x:c>
      <x:c r="M30" s="108" t="str">
        <x:f>IF(A30="","",ROUND(K30*SETTINGS!$B$7,2))</x:f>
      </x:c>
      <x:c r="N30" s="108" t="str">
        <x:f>IF(A30="","",IF(K30&gt;0,ROUND(K30*SETTINGS!$B$8+SETTINGS!$B$9,2),0))</x:f>
      </x:c>
      <x:c r="O30" s="108" t="str">
        <x:f>IF(A30="","",IF(F30="Yes",ROUND(MIN(K30*SETTINGS!$B$13,SETTINGS!$B$14),2),0))</x:f>
      </x:c>
      <x:c r="P30" s="108" t="str">
        <x:f>IF(A30="","",ROUND(K30*SETTINGS!$B$15,2))</x:f>
      </x:c>
      <x:c r="Q30" s="108" t="str">
        <x:f>IF(A30="","",ROUND(SUM(L30:P30)+G30,2))</x:f>
      </x:c>
      <x:c r="R30" s="108" t="str">
        <x:f>IF(A30="","",ROUND(K30-Q30,2))</x:f>
      </x:c>
      <x:c r="S30" s="109" t="str">
        <x:f>IF(OR(A30="",K30=0),"",R30/K30)</x:f>
      </x:c>
      <x:c r="T30" s="110"/>
    </x:row>
    <x:row r="31" ht="23" customHeight="1">
      <x:c r="A31" s="105"/>
      <x:c r="B31" s="106"/>
      <x:c r="C31" s="107"/>
      <x:c r="D31" s="107"/>
      <x:c r="E31" s="106"/>
      <x:c r="F31" s="106"/>
      <x:c r="G31" s="107"/>
      <x:c r="H31" s="107"/>
      <x:c r="I31" s="108" t="str">
        <x:f>IF(OR(C31="",E31=""),"",ROUND(C31*E31,2))</x:f>
      </x:c>
      <x:c r="J31" s="108" t="str">
        <x:f>IF(I31="","",ROUND(I31+D31,2))</x:f>
      </x:c>
      <x:c r="K31" s="108" t="str">
        <x:f>IF(J31="","",MAX(ROUND(J31-H31,2),0))</x:f>
      </x:c>
      <x:c r="L31" s="108" t="str">
        <x:f>IF(A31="","",ROUND(E31*SETTINGS!$B$6,2))</x:f>
      </x:c>
      <x:c r="M31" s="108" t="str">
        <x:f>IF(A31="","",ROUND(K31*SETTINGS!$B$7,2))</x:f>
      </x:c>
      <x:c r="N31" s="108" t="str">
        <x:f>IF(A31="","",IF(K31&gt;0,ROUND(K31*SETTINGS!$B$8+SETTINGS!$B$9,2),0))</x:f>
      </x:c>
      <x:c r="O31" s="108" t="str">
        <x:f>IF(A31="","",IF(F31="Yes",ROUND(MIN(K31*SETTINGS!$B$13,SETTINGS!$B$14),2),0))</x:f>
      </x:c>
      <x:c r="P31" s="108" t="str">
        <x:f>IF(A31="","",ROUND(K31*SETTINGS!$B$15,2))</x:f>
      </x:c>
      <x:c r="Q31" s="108" t="str">
        <x:f>IF(A31="","",ROUND(SUM(L31:P31)+G31,2))</x:f>
      </x:c>
      <x:c r="R31" s="108" t="str">
        <x:f>IF(A31="","",ROUND(K31-Q31,2))</x:f>
      </x:c>
      <x:c r="S31" s="109" t="str">
        <x:f>IF(OR(A31="",K31=0),"",R31/K31)</x:f>
      </x:c>
      <x:c r="T31" s="110"/>
    </x:row>
    <x:row r="32" ht="23" customHeight="1">
      <x:c r="A32" s="105"/>
      <x:c r="B32" s="106"/>
      <x:c r="C32" s="107"/>
      <x:c r="D32" s="107"/>
      <x:c r="E32" s="106"/>
      <x:c r="F32" s="106"/>
      <x:c r="G32" s="107"/>
      <x:c r="H32" s="107"/>
      <x:c r="I32" s="108" t="str">
        <x:f>IF(OR(C32="",E32=""),"",ROUND(C32*E32,2))</x:f>
      </x:c>
      <x:c r="J32" s="108" t="str">
        <x:f>IF(I32="","",ROUND(I32+D32,2))</x:f>
      </x:c>
      <x:c r="K32" s="108" t="str">
        <x:f>IF(J32="","",MAX(ROUND(J32-H32,2),0))</x:f>
      </x:c>
      <x:c r="L32" s="108" t="str">
        <x:f>IF(A32="","",ROUND(E32*SETTINGS!$B$6,2))</x:f>
      </x:c>
      <x:c r="M32" s="108" t="str">
        <x:f>IF(A32="","",ROUND(K32*SETTINGS!$B$7,2))</x:f>
      </x:c>
      <x:c r="N32" s="108" t="str">
        <x:f>IF(A32="","",IF(K32&gt;0,ROUND(K32*SETTINGS!$B$8+SETTINGS!$B$9,2),0))</x:f>
      </x:c>
      <x:c r="O32" s="108" t="str">
        <x:f>IF(A32="","",IF(F32="Yes",ROUND(MIN(K32*SETTINGS!$B$13,SETTINGS!$B$14),2),0))</x:f>
      </x:c>
      <x:c r="P32" s="108" t="str">
        <x:f>IF(A32="","",ROUND(K32*SETTINGS!$B$15,2))</x:f>
      </x:c>
      <x:c r="Q32" s="108" t="str">
        <x:f>IF(A32="","",ROUND(SUM(L32:P32)+G32,2))</x:f>
      </x:c>
      <x:c r="R32" s="108" t="str">
        <x:f>IF(A32="","",ROUND(K32-Q32,2))</x:f>
      </x:c>
      <x:c r="S32" s="109" t="str">
        <x:f>IF(OR(A32="",K32=0),"",R32/K32)</x:f>
      </x:c>
      <x:c r="T32" s="110"/>
    </x:row>
    <x:row r="33" ht="23" customHeight="1">
      <x:c r="A33" s="105"/>
      <x:c r="B33" s="106"/>
      <x:c r="C33" s="107"/>
      <x:c r="D33" s="107"/>
      <x:c r="E33" s="106"/>
      <x:c r="F33" s="106"/>
      <x:c r="G33" s="107"/>
      <x:c r="H33" s="107"/>
      <x:c r="I33" s="108" t="str">
        <x:f>IF(OR(C33="",E33=""),"",ROUND(C33*E33,2))</x:f>
      </x:c>
      <x:c r="J33" s="108" t="str">
        <x:f>IF(I33="","",ROUND(I33+D33,2))</x:f>
      </x:c>
      <x:c r="K33" s="108" t="str">
        <x:f>IF(J33="","",MAX(ROUND(J33-H33,2),0))</x:f>
      </x:c>
      <x:c r="L33" s="108" t="str">
        <x:f>IF(A33="","",ROUND(E33*SETTINGS!$B$6,2))</x:f>
      </x:c>
      <x:c r="M33" s="108" t="str">
        <x:f>IF(A33="","",ROUND(K33*SETTINGS!$B$7,2))</x:f>
      </x:c>
      <x:c r="N33" s="108" t="str">
        <x:f>IF(A33="","",IF(K33&gt;0,ROUND(K33*SETTINGS!$B$8+SETTINGS!$B$9,2),0))</x:f>
      </x:c>
      <x:c r="O33" s="108" t="str">
        <x:f>IF(A33="","",IF(F33="Yes",ROUND(MIN(K33*SETTINGS!$B$13,SETTINGS!$B$14),2),0))</x:f>
      </x:c>
      <x:c r="P33" s="108" t="str">
        <x:f>IF(A33="","",ROUND(K33*SETTINGS!$B$15,2))</x:f>
      </x:c>
      <x:c r="Q33" s="108" t="str">
        <x:f>IF(A33="","",ROUND(SUM(L33:P33)+G33,2))</x:f>
      </x:c>
      <x:c r="R33" s="108" t="str">
        <x:f>IF(A33="","",ROUND(K33-Q33,2))</x:f>
      </x:c>
      <x:c r="S33" s="109" t="str">
        <x:f>IF(OR(A33="",K33=0),"",R33/K33)</x:f>
      </x:c>
      <x:c r="T33" s="110"/>
    </x:row>
    <x:row r="34" ht="23" customHeight="1">
      <x:c r="A34" s="105"/>
      <x:c r="B34" s="106"/>
      <x:c r="C34" s="107"/>
      <x:c r="D34" s="107"/>
      <x:c r="E34" s="106"/>
      <x:c r="F34" s="106"/>
      <x:c r="G34" s="107"/>
      <x:c r="H34" s="107"/>
      <x:c r="I34" s="108" t="str">
        <x:f>IF(OR(C34="",E34=""),"",ROUND(C34*E34,2))</x:f>
      </x:c>
      <x:c r="J34" s="108" t="str">
        <x:f>IF(I34="","",ROUND(I34+D34,2))</x:f>
      </x:c>
      <x:c r="K34" s="108" t="str">
        <x:f>IF(J34="","",MAX(ROUND(J34-H34,2),0))</x:f>
      </x:c>
      <x:c r="L34" s="108" t="str">
        <x:f>IF(A34="","",ROUND(E34*SETTINGS!$B$6,2))</x:f>
      </x:c>
      <x:c r="M34" s="108" t="str">
        <x:f>IF(A34="","",ROUND(K34*SETTINGS!$B$7,2))</x:f>
      </x:c>
      <x:c r="N34" s="108" t="str">
        <x:f>IF(A34="","",IF(K34&gt;0,ROUND(K34*SETTINGS!$B$8+SETTINGS!$B$9,2),0))</x:f>
      </x:c>
      <x:c r="O34" s="108" t="str">
        <x:f>IF(A34="","",IF(F34="Yes",ROUND(MIN(K34*SETTINGS!$B$13,SETTINGS!$B$14),2),0))</x:f>
      </x:c>
      <x:c r="P34" s="108" t="str">
        <x:f>IF(A34="","",ROUND(K34*SETTINGS!$B$15,2))</x:f>
      </x:c>
      <x:c r="Q34" s="108" t="str">
        <x:f>IF(A34="","",ROUND(SUM(L34:P34)+G34,2))</x:f>
      </x:c>
      <x:c r="R34" s="108" t="str">
        <x:f>IF(A34="","",ROUND(K34-Q34,2))</x:f>
      </x:c>
      <x:c r="S34" s="109" t="str">
        <x:f>IF(OR(A34="",K34=0),"",R34/K34)</x:f>
      </x:c>
      <x:c r="T34" s="110"/>
    </x:row>
    <x:row r="35" ht="23" customHeight="1">
      <x:c r="A35" s="105"/>
      <x:c r="B35" s="106"/>
      <x:c r="C35" s="107"/>
      <x:c r="D35" s="107"/>
      <x:c r="E35" s="106"/>
      <x:c r="F35" s="106"/>
      <x:c r="G35" s="107"/>
      <x:c r="H35" s="107"/>
      <x:c r="I35" s="108" t="str">
        <x:f>IF(OR(C35="",E35=""),"",ROUND(C35*E35,2))</x:f>
      </x:c>
      <x:c r="J35" s="108" t="str">
        <x:f>IF(I35="","",ROUND(I35+D35,2))</x:f>
      </x:c>
      <x:c r="K35" s="108" t="str">
        <x:f>IF(J35="","",MAX(ROUND(J35-H35,2),0))</x:f>
      </x:c>
      <x:c r="L35" s="108" t="str">
        <x:f>IF(A35="","",ROUND(E35*SETTINGS!$B$6,2))</x:f>
      </x:c>
      <x:c r="M35" s="108" t="str">
        <x:f>IF(A35="","",ROUND(K35*SETTINGS!$B$7,2))</x:f>
      </x:c>
      <x:c r="N35" s="108" t="str">
        <x:f>IF(A35="","",IF(K35&gt;0,ROUND(K35*SETTINGS!$B$8+SETTINGS!$B$9,2),0))</x:f>
      </x:c>
      <x:c r="O35" s="108" t="str">
        <x:f>IF(A35="","",IF(F35="Yes",ROUND(MIN(K35*SETTINGS!$B$13,SETTINGS!$B$14),2),0))</x:f>
      </x:c>
      <x:c r="P35" s="108" t="str">
        <x:f>IF(A35="","",ROUND(K35*SETTINGS!$B$15,2))</x:f>
      </x:c>
      <x:c r="Q35" s="108" t="str">
        <x:f>IF(A35="","",ROUND(SUM(L35:P35)+G35,2))</x:f>
      </x:c>
      <x:c r="R35" s="108" t="str">
        <x:f>IF(A35="","",ROUND(K35-Q35,2))</x:f>
      </x:c>
      <x:c r="S35" s="109" t="str">
        <x:f>IF(OR(A35="",K35=0),"",R35/K35)</x:f>
      </x:c>
      <x:c r="T35" s="110"/>
    </x:row>
    <x:row r="36" ht="23" customHeight="1">
      <x:c r="A36" s="105"/>
      <x:c r="B36" s="106"/>
      <x:c r="C36" s="107"/>
      <x:c r="D36" s="107"/>
      <x:c r="E36" s="106"/>
      <x:c r="F36" s="106"/>
      <x:c r="G36" s="107"/>
      <x:c r="H36" s="107"/>
      <x:c r="I36" s="108" t="str">
        <x:f>IF(OR(C36="",E36=""),"",ROUND(C36*E36,2))</x:f>
      </x:c>
      <x:c r="J36" s="108" t="str">
        <x:f>IF(I36="","",ROUND(I36+D36,2))</x:f>
      </x:c>
      <x:c r="K36" s="108" t="str">
        <x:f>IF(J36="","",MAX(ROUND(J36-H36,2),0))</x:f>
      </x:c>
      <x:c r="L36" s="108" t="str">
        <x:f>IF(A36="","",ROUND(E36*SETTINGS!$B$6,2))</x:f>
      </x:c>
      <x:c r="M36" s="108" t="str">
        <x:f>IF(A36="","",ROUND(K36*SETTINGS!$B$7,2))</x:f>
      </x:c>
      <x:c r="N36" s="108" t="str">
        <x:f>IF(A36="","",IF(K36&gt;0,ROUND(K36*SETTINGS!$B$8+SETTINGS!$B$9,2),0))</x:f>
      </x:c>
      <x:c r="O36" s="108" t="str">
        <x:f>IF(A36="","",IF(F36="Yes",ROUND(MIN(K36*SETTINGS!$B$13,SETTINGS!$B$14),2),0))</x:f>
      </x:c>
      <x:c r="P36" s="108" t="str">
        <x:f>IF(A36="","",ROUND(K36*SETTINGS!$B$15,2))</x:f>
      </x:c>
      <x:c r="Q36" s="108" t="str">
        <x:f>IF(A36="","",ROUND(SUM(L36:P36)+G36,2))</x:f>
      </x:c>
      <x:c r="R36" s="108" t="str">
        <x:f>IF(A36="","",ROUND(K36-Q36,2))</x:f>
      </x:c>
      <x:c r="S36" s="109" t="str">
        <x:f>IF(OR(A36="",K36=0),"",R36/K36)</x:f>
      </x:c>
      <x:c r="T36" s="110"/>
    </x:row>
    <x:row r="37" ht="23" customHeight="1">
      <x:c r="A37" s="105"/>
      <x:c r="B37" s="106"/>
      <x:c r="C37" s="107"/>
      <x:c r="D37" s="107"/>
      <x:c r="E37" s="106"/>
      <x:c r="F37" s="106"/>
      <x:c r="G37" s="107"/>
      <x:c r="H37" s="107"/>
      <x:c r="I37" s="108" t="str">
        <x:f>IF(OR(C37="",E37=""),"",ROUND(C37*E37,2))</x:f>
      </x:c>
      <x:c r="J37" s="108" t="str">
        <x:f>IF(I37="","",ROUND(I37+D37,2))</x:f>
      </x:c>
      <x:c r="K37" s="108" t="str">
        <x:f>IF(J37="","",MAX(ROUND(J37-H37,2),0))</x:f>
      </x:c>
      <x:c r="L37" s="108" t="str">
        <x:f>IF(A37="","",ROUND(E37*SETTINGS!$B$6,2))</x:f>
      </x:c>
      <x:c r="M37" s="108" t="str">
        <x:f>IF(A37="","",ROUND(K37*SETTINGS!$B$7,2))</x:f>
      </x:c>
      <x:c r="N37" s="108" t="str">
        <x:f>IF(A37="","",IF(K37&gt;0,ROUND(K37*SETTINGS!$B$8+SETTINGS!$B$9,2),0))</x:f>
      </x:c>
      <x:c r="O37" s="108" t="str">
        <x:f>IF(A37="","",IF(F37="Yes",ROUND(MIN(K37*SETTINGS!$B$13,SETTINGS!$B$14),2),0))</x:f>
      </x:c>
      <x:c r="P37" s="108" t="str">
        <x:f>IF(A37="","",ROUND(K37*SETTINGS!$B$15,2))</x:f>
      </x:c>
      <x:c r="Q37" s="108" t="str">
        <x:f>IF(A37="","",ROUND(SUM(L37:P37)+G37,2))</x:f>
      </x:c>
      <x:c r="R37" s="108" t="str">
        <x:f>IF(A37="","",ROUND(K37-Q37,2))</x:f>
      </x:c>
      <x:c r="S37" s="109" t="str">
        <x:f>IF(OR(A37="",K37=0),"",R37/K37)</x:f>
      </x:c>
      <x:c r="T37" s="110"/>
    </x:row>
    <x:row r="38" ht="23" customHeight="1">
      <x:c r="A38" s="105"/>
      <x:c r="B38" s="106"/>
      <x:c r="C38" s="107"/>
      <x:c r="D38" s="107"/>
      <x:c r="E38" s="106"/>
      <x:c r="F38" s="106"/>
      <x:c r="G38" s="107"/>
      <x:c r="H38" s="107"/>
      <x:c r="I38" s="108" t="str">
        <x:f>IF(OR(C38="",E38=""),"",ROUND(C38*E38,2))</x:f>
      </x:c>
      <x:c r="J38" s="108" t="str">
        <x:f>IF(I38="","",ROUND(I38+D38,2))</x:f>
      </x:c>
      <x:c r="K38" s="108" t="str">
        <x:f>IF(J38="","",MAX(ROUND(J38-H38,2),0))</x:f>
      </x:c>
      <x:c r="L38" s="108" t="str">
        <x:f>IF(A38="","",ROUND(E38*SETTINGS!$B$6,2))</x:f>
      </x:c>
      <x:c r="M38" s="108" t="str">
        <x:f>IF(A38="","",ROUND(K38*SETTINGS!$B$7,2))</x:f>
      </x:c>
      <x:c r="N38" s="108" t="str">
        <x:f>IF(A38="","",IF(K38&gt;0,ROUND(K38*SETTINGS!$B$8+SETTINGS!$B$9,2),0))</x:f>
      </x:c>
      <x:c r="O38" s="108" t="str">
        <x:f>IF(A38="","",IF(F38="Yes",ROUND(MIN(K38*SETTINGS!$B$13,SETTINGS!$B$14),2),0))</x:f>
      </x:c>
      <x:c r="P38" s="108" t="str">
        <x:f>IF(A38="","",ROUND(K38*SETTINGS!$B$15,2))</x:f>
      </x:c>
      <x:c r="Q38" s="108" t="str">
        <x:f>IF(A38="","",ROUND(SUM(L38:P38)+G38,2))</x:f>
      </x:c>
      <x:c r="R38" s="108" t="str">
        <x:f>IF(A38="","",ROUND(K38-Q38,2))</x:f>
      </x:c>
      <x:c r="S38" s="109" t="str">
        <x:f>IF(OR(A38="",K38=0),"",R38/K38)</x:f>
      </x:c>
      <x:c r="T38" s="110"/>
    </x:row>
    <x:row r="39" ht="23" customHeight="1">
      <x:c r="A39" s="105"/>
      <x:c r="B39" s="106"/>
      <x:c r="C39" s="107"/>
      <x:c r="D39" s="107"/>
      <x:c r="E39" s="106"/>
      <x:c r="F39" s="106"/>
      <x:c r="G39" s="107"/>
      <x:c r="H39" s="107"/>
      <x:c r="I39" s="108" t="str">
        <x:f>IF(OR(C39="",E39=""),"",ROUND(C39*E39,2))</x:f>
      </x:c>
      <x:c r="J39" s="108" t="str">
        <x:f>IF(I39="","",ROUND(I39+D39,2))</x:f>
      </x:c>
      <x:c r="K39" s="108" t="str">
        <x:f>IF(J39="","",MAX(ROUND(J39-H39,2),0))</x:f>
      </x:c>
      <x:c r="L39" s="108" t="str">
        <x:f>IF(A39="","",ROUND(E39*SETTINGS!$B$6,2))</x:f>
      </x:c>
      <x:c r="M39" s="108" t="str">
        <x:f>IF(A39="","",ROUND(K39*SETTINGS!$B$7,2))</x:f>
      </x:c>
      <x:c r="N39" s="108" t="str">
        <x:f>IF(A39="","",IF(K39&gt;0,ROUND(K39*SETTINGS!$B$8+SETTINGS!$B$9,2),0))</x:f>
      </x:c>
      <x:c r="O39" s="108" t="str">
        <x:f>IF(A39="","",IF(F39="Yes",ROUND(MIN(K39*SETTINGS!$B$13,SETTINGS!$B$14),2),0))</x:f>
      </x:c>
      <x:c r="P39" s="108" t="str">
        <x:f>IF(A39="","",ROUND(K39*SETTINGS!$B$15,2))</x:f>
      </x:c>
      <x:c r="Q39" s="108" t="str">
        <x:f>IF(A39="","",ROUND(SUM(L39:P39)+G39,2))</x:f>
      </x:c>
      <x:c r="R39" s="108" t="str">
        <x:f>IF(A39="","",ROUND(K39-Q39,2))</x:f>
      </x:c>
      <x:c r="S39" s="109" t="str">
        <x:f>IF(OR(A39="",K39=0),"",R39/K39)</x:f>
      </x:c>
      <x:c r="T39" s="110"/>
    </x:row>
    <x:row r="40" ht="23" customHeight="1">
      <x:c r="A40" s="105"/>
      <x:c r="B40" s="106"/>
      <x:c r="C40" s="107"/>
      <x:c r="D40" s="107"/>
      <x:c r="E40" s="106"/>
      <x:c r="F40" s="106"/>
      <x:c r="G40" s="107"/>
      <x:c r="H40" s="107"/>
      <x:c r="I40" s="108" t="str">
        <x:f>IF(OR(C40="",E40=""),"",ROUND(C40*E40,2))</x:f>
      </x:c>
      <x:c r="J40" s="108" t="str">
        <x:f>IF(I40="","",ROUND(I40+D40,2))</x:f>
      </x:c>
      <x:c r="K40" s="108" t="str">
        <x:f>IF(J40="","",MAX(ROUND(J40-H40,2),0))</x:f>
      </x:c>
      <x:c r="L40" s="108" t="str">
        <x:f>IF(A40="","",ROUND(E40*SETTINGS!$B$6,2))</x:f>
      </x:c>
      <x:c r="M40" s="108" t="str">
        <x:f>IF(A40="","",ROUND(K40*SETTINGS!$B$7,2))</x:f>
      </x:c>
      <x:c r="N40" s="108" t="str">
        <x:f>IF(A40="","",IF(K40&gt;0,ROUND(K40*SETTINGS!$B$8+SETTINGS!$B$9,2),0))</x:f>
      </x:c>
      <x:c r="O40" s="108" t="str">
        <x:f>IF(A40="","",IF(F40="Yes",ROUND(MIN(K40*SETTINGS!$B$13,SETTINGS!$B$14),2),0))</x:f>
      </x:c>
      <x:c r="P40" s="108" t="str">
        <x:f>IF(A40="","",ROUND(K40*SETTINGS!$B$15,2))</x:f>
      </x:c>
      <x:c r="Q40" s="108" t="str">
        <x:f>IF(A40="","",ROUND(SUM(L40:P40)+G40,2))</x:f>
      </x:c>
      <x:c r="R40" s="108" t="str">
        <x:f>IF(A40="","",ROUND(K40-Q40,2))</x:f>
      </x:c>
      <x:c r="S40" s="109" t="str">
        <x:f>IF(OR(A40="",K40=0),"",R40/K40)</x:f>
      </x:c>
      <x:c r="T40" s="110"/>
    </x:row>
    <x:row r="41" ht="23" customHeight="1">
      <x:c r="A41" s="105"/>
      <x:c r="B41" s="106"/>
      <x:c r="C41" s="107"/>
      <x:c r="D41" s="107"/>
      <x:c r="E41" s="106"/>
      <x:c r="F41" s="106"/>
      <x:c r="G41" s="107"/>
      <x:c r="H41" s="107"/>
      <x:c r="I41" s="108" t="str">
        <x:f>IF(OR(C41="",E41=""),"",ROUND(C41*E41,2))</x:f>
      </x:c>
      <x:c r="J41" s="108" t="str">
        <x:f>IF(I41="","",ROUND(I41+D41,2))</x:f>
      </x:c>
      <x:c r="K41" s="108" t="str">
        <x:f>IF(J41="","",MAX(ROUND(J41-H41,2),0))</x:f>
      </x:c>
      <x:c r="L41" s="108" t="str">
        <x:f>IF(A41="","",ROUND(E41*SETTINGS!$B$6,2))</x:f>
      </x:c>
      <x:c r="M41" s="108" t="str">
        <x:f>IF(A41="","",ROUND(K41*SETTINGS!$B$7,2))</x:f>
      </x:c>
      <x:c r="N41" s="108" t="str">
        <x:f>IF(A41="","",IF(K41&gt;0,ROUND(K41*SETTINGS!$B$8+SETTINGS!$B$9,2),0))</x:f>
      </x:c>
      <x:c r="O41" s="108" t="str">
        <x:f>IF(A41="","",IF(F41="Yes",ROUND(MIN(K41*SETTINGS!$B$13,SETTINGS!$B$14),2),0))</x:f>
      </x:c>
      <x:c r="P41" s="108" t="str">
        <x:f>IF(A41="","",ROUND(K41*SETTINGS!$B$15,2))</x:f>
      </x:c>
      <x:c r="Q41" s="108" t="str">
        <x:f>IF(A41="","",ROUND(SUM(L41:P41)+G41,2))</x:f>
      </x:c>
      <x:c r="R41" s="108" t="str">
        <x:f>IF(A41="","",ROUND(K41-Q41,2))</x:f>
      </x:c>
      <x:c r="S41" s="109" t="str">
        <x:f>IF(OR(A41="",K41=0),"",R41/K41)</x:f>
      </x:c>
      <x:c r="T41" s="110"/>
    </x:row>
    <x:row r="42" ht="23" customHeight="1">
      <x:c r="A42" s="105"/>
      <x:c r="B42" s="106"/>
      <x:c r="C42" s="107"/>
      <x:c r="D42" s="107"/>
      <x:c r="E42" s="106"/>
      <x:c r="F42" s="106"/>
      <x:c r="G42" s="107"/>
      <x:c r="H42" s="107"/>
      <x:c r="I42" s="108" t="str">
        <x:f>IF(OR(C42="",E42=""),"",ROUND(C42*E42,2))</x:f>
      </x:c>
      <x:c r="J42" s="108" t="str">
        <x:f>IF(I42="","",ROUND(I42+D42,2))</x:f>
      </x:c>
      <x:c r="K42" s="108" t="str">
        <x:f>IF(J42="","",MAX(ROUND(J42-H42,2),0))</x:f>
      </x:c>
      <x:c r="L42" s="108" t="str">
        <x:f>IF(A42="","",ROUND(E42*SETTINGS!$B$6,2))</x:f>
      </x:c>
      <x:c r="M42" s="108" t="str">
        <x:f>IF(A42="","",ROUND(K42*SETTINGS!$B$7,2))</x:f>
      </x:c>
      <x:c r="N42" s="108" t="str">
        <x:f>IF(A42="","",IF(K42&gt;0,ROUND(K42*SETTINGS!$B$8+SETTINGS!$B$9,2),0))</x:f>
      </x:c>
      <x:c r="O42" s="108" t="str">
        <x:f>IF(A42="","",IF(F42="Yes",ROUND(MIN(K42*SETTINGS!$B$13,SETTINGS!$B$14),2),0))</x:f>
      </x:c>
      <x:c r="P42" s="108" t="str">
        <x:f>IF(A42="","",ROUND(K42*SETTINGS!$B$15,2))</x:f>
      </x:c>
      <x:c r="Q42" s="108" t="str">
        <x:f>IF(A42="","",ROUND(SUM(L42:P42)+G42,2))</x:f>
      </x:c>
      <x:c r="R42" s="108" t="str">
        <x:f>IF(A42="","",ROUND(K42-Q42,2))</x:f>
      </x:c>
      <x:c r="S42" s="109" t="str">
        <x:f>IF(OR(A42="",K42=0),"",R42/K42)</x:f>
      </x:c>
      <x:c r="T42" s="110"/>
    </x:row>
    <x:row r="43" ht="23" customHeight="1">
      <x:c r="A43" s="105"/>
      <x:c r="B43" s="106"/>
      <x:c r="C43" s="107"/>
      <x:c r="D43" s="107"/>
      <x:c r="E43" s="106"/>
      <x:c r="F43" s="106"/>
      <x:c r="G43" s="107"/>
      <x:c r="H43" s="107"/>
      <x:c r="I43" s="108" t="str">
        <x:f>IF(OR(C43="",E43=""),"",ROUND(C43*E43,2))</x:f>
      </x:c>
      <x:c r="J43" s="108" t="str">
        <x:f>IF(I43="","",ROUND(I43+D43,2))</x:f>
      </x:c>
      <x:c r="K43" s="108" t="str">
        <x:f>IF(J43="","",MAX(ROUND(J43-H43,2),0))</x:f>
      </x:c>
      <x:c r="L43" s="108" t="str">
        <x:f>IF(A43="","",ROUND(E43*SETTINGS!$B$6,2))</x:f>
      </x:c>
      <x:c r="M43" s="108" t="str">
        <x:f>IF(A43="","",ROUND(K43*SETTINGS!$B$7,2))</x:f>
      </x:c>
      <x:c r="N43" s="108" t="str">
        <x:f>IF(A43="","",IF(K43&gt;0,ROUND(K43*SETTINGS!$B$8+SETTINGS!$B$9,2),0))</x:f>
      </x:c>
      <x:c r="O43" s="108" t="str">
        <x:f>IF(A43="","",IF(F43="Yes",ROUND(MIN(K43*SETTINGS!$B$13,SETTINGS!$B$14),2),0))</x:f>
      </x:c>
      <x:c r="P43" s="108" t="str">
        <x:f>IF(A43="","",ROUND(K43*SETTINGS!$B$15,2))</x:f>
      </x:c>
      <x:c r="Q43" s="108" t="str">
        <x:f>IF(A43="","",ROUND(SUM(L43:P43)+G43,2))</x:f>
      </x:c>
      <x:c r="R43" s="108" t="str">
        <x:f>IF(A43="","",ROUND(K43-Q43,2))</x:f>
      </x:c>
      <x:c r="S43" s="109" t="str">
        <x:f>IF(OR(A43="",K43=0),"",R43/K43)</x:f>
      </x:c>
      <x:c r="T43" s="110"/>
    </x:row>
    <x:row r="44" ht="23" customHeight="1">
      <x:c r="A44" s="105"/>
      <x:c r="B44" s="106"/>
      <x:c r="C44" s="107"/>
      <x:c r="D44" s="107"/>
      <x:c r="E44" s="106"/>
      <x:c r="F44" s="106"/>
      <x:c r="G44" s="107"/>
      <x:c r="H44" s="107"/>
      <x:c r="I44" s="108" t="str">
        <x:f>IF(OR(C44="",E44=""),"",ROUND(C44*E44,2))</x:f>
      </x:c>
      <x:c r="J44" s="108" t="str">
        <x:f>IF(I44="","",ROUND(I44+D44,2))</x:f>
      </x:c>
      <x:c r="K44" s="108" t="str">
        <x:f>IF(J44="","",MAX(ROUND(J44-H44,2),0))</x:f>
      </x:c>
      <x:c r="L44" s="108" t="str">
        <x:f>IF(A44="","",ROUND(E44*SETTINGS!$B$6,2))</x:f>
      </x:c>
      <x:c r="M44" s="108" t="str">
        <x:f>IF(A44="","",ROUND(K44*SETTINGS!$B$7,2))</x:f>
      </x:c>
      <x:c r="N44" s="108" t="str">
        <x:f>IF(A44="","",IF(K44&gt;0,ROUND(K44*SETTINGS!$B$8+SETTINGS!$B$9,2),0))</x:f>
      </x:c>
      <x:c r="O44" s="108" t="str">
        <x:f>IF(A44="","",IF(F44="Yes",ROUND(MIN(K44*SETTINGS!$B$13,SETTINGS!$B$14),2),0))</x:f>
      </x:c>
      <x:c r="P44" s="108" t="str">
        <x:f>IF(A44="","",ROUND(K44*SETTINGS!$B$15,2))</x:f>
      </x:c>
      <x:c r="Q44" s="108" t="str">
        <x:f>IF(A44="","",ROUND(SUM(L44:P44)+G44,2))</x:f>
      </x:c>
      <x:c r="R44" s="108" t="str">
        <x:f>IF(A44="","",ROUND(K44-Q44,2))</x:f>
      </x:c>
      <x:c r="S44" s="109" t="str">
        <x:f>IF(OR(A44="",K44=0),"",R44/K44)</x:f>
      </x:c>
      <x:c r="T44" s="110"/>
    </x:row>
    <x:row r="45" ht="23" customHeight="1">
      <x:c r="A45" s="105"/>
      <x:c r="B45" s="106"/>
      <x:c r="C45" s="107"/>
      <x:c r="D45" s="107"/>
      <x:c r="E45" s="106"/>
      <x:c r="F45" s="106"/>
      <x:c r="G45" s="107"/>
      <x:c r="H45" s="107"/>
      <x:c r="I45" s="108" t="str">
        <x:f>IF(OR(C45="",E45=""),"",ROUND(C45*E45,2))</x:f>
      </x:c>
      <x:c r="J45" s="108" t="str">
        <x:f>IF(I45="","",ROUND(I45+D45,2))</x:f>
      </x:c>
      <x:c r="K45" s="108" t="str">
        <x:f>IF(J45="","",MAX(ROUND(J45-H45,2),0))</x:f>
      </x:c>
      <x:c r="L45" s="108" t="str">
        <x:f>IF(A45="","",ROUND(E45*SETTINGS!$B$6,2))</x:f>
      </x:c>
      <x:c r="M45" s="108" t="str">
        <x:f>IF(A45="","",ROUND(K45*SETTINGS!$B$7,2))</x:f>
      </x:c>
      <x:c r="N45" s="108" t="str">
        <x:f>IF(A45="","",IF(K45&gt;0,ROUND(K45*SETTINGS!$B$8+SETTINGS!$B$9,2),0))</x:f>
      </x:c>
      <x:c r="O45" s="108" t="str">
        <x:f>IF(A45="","",IF(F45="Yes",ROUND(MIN(K45*SETTINGS!$B$13,SETTINGS!$B$14),2),0))</x:f>
      </x:c>
      <x:c r="P45" s="108" t="str">
        <x:f>IF(A45="","",ROUND(K45*SETTINGS!$B$15,2))</x:f>
      </x:c>
      <x:c r="Q45" s="108" t="str">
        <x:f>IF(A45="","",ROUND(SUM(L45:P45)+G45,2))</x:f>
      </x:c>
      <x:c r="R45" s="108" t="str">
        <x:f>IF(A45="","",ROUND(K45-Q45,2))</x:f>
      </x:c>
      <x:c r="S45" s="109" t="str">
        <x:f>IF(OR(A45="",K45=0),"",R45/K45)</x:f>
      </x:c>
      <x:c r="T45" s="110"/>
    </x:row>
    <x:row r="46" ht="23" customHeight="1">
      <x:c r="A46" s="105"/>
      <x:c r="B46" s="106"/>
      <x:c r="C46" s="107"/>
      <x:c r="D46" s="107"/>
      <x:c r="E46" s="106"/>
      <x:c r="F46" s="106"/>
      <x:c r="G46" s="107"/>
      <x:c r="H46" s="107"/>
      <x:c r="I46" s="108" t="str">
        <x:f>IF(OR(C46="",E46=""),"",ROUND(C46*E46,2))</x:f>
      </x:c>
      <x:c r="J46" s="108" t="str">
        <x:f>IF(I46="","",ROUND(I46+D46,2))</x:f>
      </x:c>
      <x:c r="K46" s="108" t="str">
        <x:f>IF(J46="","",MAX(ROUND(J46-H46,2),0))</x:f>
      </x:c>
      <x:c r="L46" s="108" t="str">
        <x:f>IF(A46="","",ROUND(E46*SETTINGS!$B$6,2))</x:f>
      </x:c>
      <x:c r="M46" s="108" t="str">
        <x:f>IF(A46="","",ROUND(K46*SETTINGS!$B$7,2))</x:f>
      </x:c>
      <x:c r="N46" s="108" t="str">
        <x:f>IF(A46="","",IF(K46&gt;0,ROUND(K46*SETTINGS!$B$8+SETTINGS!$B$9,2),0))</x:f>
      </x:c>
      <x:c r="O46" s="108" t="str">
        <x:f>IF(A46="","",IF(F46="Yes",ROUND(MIN(K46*SETTINGS!$B$13,SETTINGS!$B$14),2),0))</x:f>
      </x:c>
      <x:c r="P46" s="108" t="str">
        <x:f>IF(A46="","",ROUND(K46*SETTINGS!$B$15,2))</x:f>
      </x:c>
      <x:c r="Q46" s="108" t="str">
        <x:f>IF(A46="","",ROUND(SUM(L46:P46)+G46,2))</x:f>
      </x:c>
      <x:c r="R46" s="108" t="str">
        <x:f>IF(A46="","",ROUND(K46-Q46,2))</x:f>
      </x:c>
      <x:c r="S46" s="109" t="str">
        <x:f>IF(OR(A46="",K46=0),"",R46/K46)</x:f>
      </x:c>
      <x:c r="T46" s="110"/>
    </x:row>
    <x:row r="47" ht="23" customHeight="1">
      <x:c r="A47" s="105"/>
      <x:c r="B47" s="106"/>
      <x:c r="C47" s="107"/>
      <x:c r="D47" s="107"/>
      <x:c r="E47" s="106"/>
      <x:c r="F47" s="106"/>
      <x:c r="G47" s="107"/>
      <x:c r="H47" s="107"/>
      <x:c r="I47" s="108" t="str">
        <x:f>IF(OR(C47="",E47=""),"",ROUND(C47*E47,2))</x:f>
      </x:c>
      <x:c r="J47" s="108" t="str">
        <x:f>IF(I47="","",ROUND(I47+D47,2))</x:f>
      </x:c>
      <x:c r="K47" s="108" t="str">
        <x:f>IF(J47="","",MAX(ROUND(J47-H47,2),0))</x:f>
      </x:c>
      <x:c r="L47" s="108" t="str">
        <x:f>IF(A47="","",ROUND(E47*SETTINGS!$B$6,2))</x:f>
      </x:c>
      <x:c r="M47" s="108" t="str">
        <x:f>IF(A47="","",ROUND(K47*SETTINGS!$B$7,2))</x:f>
      </x:c>
      <x:c r="N47" s="108" t="str">
        <x:f>IF(A47="","",IF(K47&gt;0,ROUND(K47*SETTINGS!$B$8+SETTINGS!$B$9,2),0))</x:f>
      </x:c>
      <x:c r="O47" s="108" t="str">
        <x:f>IF(A47="","",IF(F47="Yes",ROUND(MIN(K47*SETTINGS!$B$13,SETTINGS!$B$14),2),0))</x:f>
      </x:c>
      <x:c r="P47" s="108" t="str">
        <x:f>IF(A47="","",ROUND(K47*SETTINGS!$B$15,2))</x:f>
      </x:c>
      <x:c r="Q47" s="108" t="str">
        <x:f>IF(A47="","",ROUND(SUM(L47:P47)+G47,2))</x:f>
      </x:c>
      <x:c r="R47" s="108" t="str">
        <x:f>IF(A47="","",ROUND(K47-Q47,2))</x:f>
      </x:c>
      <x:c r="S47" s="109" t="str">
        <x:f>IF(OR(A47="",K47=0),"",R47/K47)</x:f>
      </x:c>
      <x:c r="T47" s="110"/>
    </x:row>
    <x:row r="48" ht="23" customHeight="1">
      <x:c r="A48" s="105"/>
      <x:c r="B48" s="106"/>
      <x:c r="C48" s="107"/>
      <x:c r="D48" s="107"/>
      <x:c r="E48" s="106"/>
      <x:c r="F48" s="106"/>
      <x:c r="G48" s="107"/>
      <x:c r="H48" s="107"/>
      <x:c r="I48" s="108" t="str">
        <x:f>IF(OR(C48="",E48=""),"",ROUND(C48*E48,2))</x:f>
      </x:c>
      <x:c r="J48" s="108" t="str">
        <x:f>IF(I48="","",ROUND(I48+D48,2))</x:f>
      </x:c>
      <x:c r="K48" s="108" t="str">
        <x:f>IF(J48="","",MAX(ROUND(J48-H48,2),0))</x:f>
      </x:c>
      <x:c r="L48" s="108" t="str">
        <x:f>IF(A48="","",ROUND(E48*SETTINGS!$B$6,2))</x:f>
      </x:c>
      <x:c r="M48" s="108" t="str">
        <x:f>IF(A48="","",ROUND(K48*SETTINGS!$B$7,2))</x:f>
      </x:c>
      <x:c r="N48" s="108" t="str">
        <x:f>IF(A48="","",IF(K48&gt;0,ROUND(K48*SETTINGS!$B$8+SETTINGS!$B$9,2),0))</x:f>
      </x:c>
      <x:c r="O48" s="108" t="str">
        <x:f>IF(A48="","",IF(F48="Yes",ROUND(MIN(K48*SETTINGS!$B$13,SETTINGS!$B$14),2),0))</x:f>
      </x:c>
      <x:c r="P48" s="108" t="str">
        <x:f>IF(A48="","",ROUND(K48*SETTINGS!$B$15,2))</x:f>
      </x:c>
      <x:c r="Q48" s="108" t="str">
        <x:f>IF(A48="","",ROUND(SUM(L48:P48)+G48,2))</x:f>
      </x:c>
      <x:c r="R48" s="108" t="str">
        <x:f>IF(A48="","",ROUND(K48-Q48,2))</x:f>
      </x:c>
      <x:c r="S48" s="109" t="str">
        <x:f>IF(OR(A48="",K48=0),"",R48/K48)</x:f>
      </x:c>
      <x:c r="T48" s="110"/>
    </x:row>
    <x:row r="49" ht="23" customHeight="1">
      <x:c r="A49" s="105"/>
      <x:c r="B49" s="106"/>
      <x:c r="C49" s="107"/>
      <x:c r="D49" s="107"/>
      <x:c r="E49" s="106"/>
      <x:c r="F49" s="106"/>
      <x:c r="G49" s="107"/>
      <x:c r="H49" s="107"/>
      <x:c r="I49" s="108" t="str">
        <x:f>IF(OR(C49="",E49=""),"",ROUND(C49*E49,2))</x:f>
      </x:c>
      <x:c r="J49" s="108" t="str">
        <x:f>IF(I49="","",ROUND(I49+D49,2))</x:f>
      </x:c>
      <x:c r="K49" s="108" t="str">
        <x:f>IF(J49="","",MAX(ROUND(J49-H49,2),0))</x:f>
      </x:c>
      <x:c r="L49" s="108" t="str">
        <x:f>IF(A49="","",ROUND(E49*SETTINGS!$B$6,2))</x:f>
      </x:c>
      <x:c r="M49" s="108" t="str">
        <x:f>IF(A49="","",ROUND(K49*SETTINGS!$B$7,2))</x:f>
      </x:c>
      <x:c r="N49" s="108" t="str">
        <x:f>IF(A49="","",IF(K49&gt;0,ROUND(K49*SETTINGS!$B$8+SETTINGS!$B$9,2),0))</x:f>
      </x:c>
      <x:c r="O49" s="108" t="str">
        <x:f>IF(A49="","",IF(F49="Yes",ROUND(MIN(K49*SETTINGS!$B$13,SETTINGS!$B$14),2),0))</x:f>
      </x:c>
      <x:c r="P49" s="108" t="str">
        <x:f>IF(A49="","",ROUND(K49*SETTINGS!$B$15,2))</x:f>
      </x:c>
      <x:c r="Q49" s="108" t="str">
        <x:f>IF(A49="","",ROUND(SUM(L49:P49)+G49,2))</x:f>
      </x:c>
      <x:c r="R49" s="108" t="str">
        <x:f>IF(A49="","",ROUND(K49-Q49,2))</x:f>
      </x:c>
      <x:c r="S49" s="109" t="str">
        <x:f>IF(OR(A49="",K49=0),"",R49/K49)</x:f>
      </x:c>
      <x:c r="T49" s="110"/>
    </x:row>
    <x:row r="50" ht="23" customHeight="1">
      <x:c r="A50" s="105"/>
      <x:c r="B50" s="106"/>
      <x:c r="C50" s="107"/>
      <x:c r="D50" s="107"/>
      <x:c r="E50" s="106"/>
      <x:c r="F50" s="106"/>
      <x:c r="G50" s="107"/>
      <x:c r="H50" s="107"/>
      <x:c r="I50" s="108" t="str">
        <x:f>IF(OR(C50="",E50=""),"",ROUND(C50*E50,2))</x:f>
      </x:c>
      <x:c r="J50" s="108" t="str">
        <x:f>IF(I50="","",ROUND(I50+D50,2))</x:f>
      </x:c>
      <x:c r="K50" s="108" t="str">
        <x:f>IF(J50="","",MAX(ROUND(J50-H50,2),0))</x:f>
      </x:c>
      <x:c r="L50" s="108" t="str">
        <x:f>IF(A50="","",ROUND(E50*SETTINGS!$B$6,2))</x:f>
      </x:c>
      <x:c r="M50" s="108" t="str">
        <x:f>IF(A50="","",ROUND(K50*SETTINGS!$B$7,2))</x:f>
      </x:c>
      <x:c r="N50" s="108" t="str">
        <x:f>IF(A50="","",IF(K50&gt;0,ROUND(K50*SETTINGS!$B$8+SETTINGS!$B$9,2),0))</x:f>
      </x:c>
      <x:c r="O50" s="108" t="str">
        <x:f>IF(A50="","",IF(F50="Yes",ROUND(MIN(K50*SETTINGS!$B$13,SETTINGS!$B$14),2),0))</x:f>
      </x:c>
      <x:c r="P50" s="108" t="str">
        <x:f>IF(A50="","",ROUND(K50*SETTINGS!$B$15,2))</x:f>
      </x:c>
      <x:c r="Q50" s="108" t="str">
        <x:f>IF(A50="","",ROUND(SUM(L50:P50)+G50,2))</x:f>
      </x:c>
      <x:c r="R50" s="108" t="str">
        <x:f>IF(A50="","",ROUND(K50-Q50,2))</x:f>
      </x:c>
      <x:c r="S50" s="109" t="str">
        <x:f>IF(OR(A50="",K50=0),"",R50/K50)</x:f>
      </x:c>
      <x:c r="T50" s="110"/>
    </x:row>
    <x:row r="51" ht="23" customHeight="1">
      <x:c r="A51" s="105"/>
      <x:c r="B51" s="106"/>
      <x:c r="C51" s="107"/>
      <x:c r="D51" s="107"/>
      <x:c r="E51" s="106"/>
      <x:c r="F51" s="106"/>
      <x:c r="G51" s="107"/>
      <x:c r="H51" s="107"/>
      <x:c r="I51" s="108" t="str">
        <x:f>IF(OR(C51="",E51=""),"",ROUND(C51*E51,2))</x:f>
      </x:c>
      <x:c r="J51" s="108" t="str">
        <x:f>IF(I51="","",ROUND(I51+D51,2))</x:f>
      </x:c>
      <x:c r="K51" s="108" t="str">
        <x:f>IF(J51="","",MAX(ROUND(J51-H51,2),0))</x:f>
      </x:c>
      <x:c r="L51" s="108" t="str">
        <x:f>IF(A51="","",ROUND(E51*SETTINGS!$B$6,2))</x:f>
      </x:c>
      <x:c r="M51" s="108" t="str">
        <x:f>IF(A51="","",ROUND(K51*SETTINGS!$B$7,2))</x:f>
      </x:c>
      <x:c r="N51" s="108" t="str">
        <x:f>IF(A51="","",IF(K51&gt;0,ROUND(K51*SETTINGS!$B$8+SETTINGS!$B$9,2),0))</x:f>
      </x:c>
      <x:c r="O51" s="108" t="str">
        <x:f>IF(A51="","",IF(F51="Yes",ROUND(MIN(K51*SETTINGS!$B$13,SETTINGS!$B$14),2),0))</x:f>
      </x:c>
      <x:c r="P51" s="108" t="str">
        <x:f>IF(A51="","",ROUND(K51*SETTINGS!$B$15,2))</x:f>
      </x:c>
      <x:c r="Q51" s="108" t="str">
        <x:f>IF(A51="","",ROUND(SUM(L51:P51)+G51,2))</x:f>
      </x:c>
      <x:c r="R51" s="108" t="str">
        <x:f>IF(A51="","",ROUND(K51-Q51,2))</x:f>
      </x:c>
      <x:c r="S51" s="109" t="str">
        <x:f>IF(OR(A51="",K51=0),"",R51/K51)</x:f>
      </x:c>
      <x:c r="T51" s="110"/>
    </x:row>
    <x:row r="52" ht="23" customHeight="1">
      <x:c r="A52" s="105"/>
      <x:c r="B52" s="106"/>
      <x:c r="C52" s="107"/>
      <x:c r="D52" s="107"/>
      <x:c r="E52" s="106"/>
      <x:c r="F52" s="106"/>
      <x:c r="G52" s="107"/>
      <x:c r="H52" s="107"/>
      <x:c r="I52" s="108" t="str">
        <x:f>IF(OR(C52="",E52=""),"",ROUND(C52*E52,2))</x:f>
      </x:c>
      <x:c r="J52" s="108" t="str">
        <x:f>IF(I52="","",ROUND(I52+D52,2))</x:f>
      </x:c>
      <x:c r="K52" s="108" t="str">
        <x:f>IF(J52="","",MAX(ROUND(J52-H52,2),0))</x:f>
      </x:c>
      <x:c r="L52" s="108" t="str">
        <x:f>IF(A52="","",ROUND(E52*SETTINGS!$B$6,2))</x:f>
      </x:c>
      <x:c r="M52" s="108" t="str">
        <x:f>IF(A52="","",ROUND(K52*SETTINGS!$B$7,2))</x:f>
      </x:c>
      <x:c r="N52" s="108" t="str">
        <x:f>IF(A52="","",IF(K52&gt;0,ROUND(K52*SETTINGS!$B$8+SETTINGS!$B$9,2),0))</x:f>
      </x:c>
      <x:c r="O52" s="108" t="str">
        <x:f>IF(A52="","",IF(F52="Yes",ROUND(MIN(K52*SETTINGS!$B$13,SETTINGS!$B$14),2),0))</x:f>
      </x:c>
      <x:c r="P52" s="108" t="str">
        <x:f>IF(A52="","",ROUND(K52*SETTINGS!$B$15,2))</x:f>
      </x:c>
      <x:c r="Q52" s="108" t="str">
        <x:f>IF(A52="","",ROUND(SUM(L52:P52)+G52,2))</x:f>
      </x:c>
      <x:c r="R52" s="108" t="str">
        <x:f>IF(A52="","",ROUND(K52-Q52,2))</x:f>
      </x:c>
      <x:c r="S52" s="109" t="str">
        <x:f>IF(OR(A52="",K52=0),"",R52/K52)</x:f>
      </x:c>
      <x:c r="T52" s="110"/>
    </x:row>
    <x:row r="53" ht="23" customHeight="1">
      <x:c r="A53" s="105"/>
      <x:c r="B53" s="106"/>
      <x:c r="C53" s="107"/>
      <x:c r="D53" s="107"/>
      <x:c r="E53" s="106"/>
      <x:c r="F53" s="106"/>
      <x:c r="G53" s="107"/>
      <x:c r="H53" s="107"/>
      <x:c r="I53" s="108" t="str">
        <x:f>IF(OR(C53="",E53=""),"",ROUND(C53*E53,2))</x:f>
      </x:c>
      <x:c r="J53" s="108" t="str">
        <x:f>IF(I53="","",ROUND(I53+D53,2))</x:f>
      </x:c>
      <x:c r="K53" s="108" t="str">
        <x:f>IF(J53="","",MAX(ROUND(J53-H53,2),0))</x:f>
      </x:c>
      <x:c r="L53" s="108" t="str">
        <x:f>IF(A53="","",ROUND(E53*SETTINGS!$B$6,2))</x:f>
      </x:c>
      <x:c r="M53" s="108" t="str">
        <x:f>IF(A53="","",ROUND(K53*SETTINGS!$B$7,2))</x:f>
      </x:c>
      <x:c r="N53" s="108" t="str">
        <x:f>IF(A53="","",IF(K53&gt;0,ROUND(K53*SETTINGS!$B$8+SETTINGS!$B$9,2),0))</x:f>
      </x:c>
      <x:c r="O53" s="108" t="str">
        <x:f>IF(A53="","",IF(F53="Yes",ROUND(MIN(K53*SETTINGS!$B$13,SETTINGS!$B$14),2),0))</x:f>
      </x:c>
      <x:c r="P53" s="108" t="str">
        <x:f>IF(A53="","",ROUND(K53*SETTINGS!$B$15,2))</x:f>
      </x:c>
      <x:c r="Q53" s="108" t="str">
        <x:f>IF(A53="","",ROUND(SUM(L53:P53)+G53,2))</x:f>
      </x:c>
      <x:c r="R53" s="108" t="str">
        <x:f>IF(A53="","",ROUND(K53-Q53,2))</x:f>
      </x:c>
      <x:c r="S53" s="109" t="str">
        <x:f>IF(OR(A53="",K53=0),"",R53/K53)</x:f>
      </x:c>
      <x:c r="T53" s="110"/>
    </x:row>
    <x:row r="54" ht="23" customHeight="1">
      <x:c r="A54" s="105"/>
      <x:c r="B54" s="106"/>
      <x:c r="C54" s="107"/>
      <x:c r="D54" s="107"/>
      <x:c r="E54" s="106"/>
      <x:c r="F54" s="106"/>
      <x:c r="G54" s="107"/>
      <x:c r="H54" s="107"/>
      <x:c r="I54" s="108" t="str">
        <x:f>IF(OR(C54="",E54=""),"",ROUND(C54*E54,2))</x:f>
      </x:c>
      <x:c r="J54" s="108" t="str">
        <x:f>IF(I54="","",ROUND(I54+D54,2))</x:f>
      </x:c>
      <x:c r="K54" s="108" t="str">
        <x:f>IF(J54="","",MAX(ROUND(J54-H54,2),0))</x:f>
      </x:c>
      <x:c r="L54" s="108" t="str">
        <x:f>IF(A54="","",ROUND(E54*SETTINGS!$B$6,2))</x:f>
      </x:c>
      <x:c r="M54" s="108" t="str">
        <x:f>IF(A54="","",ROUND(K54*SETTINGS!$B$7,2))</x:f>
      </x:c>
      <x:c r="N54" s="108" t="str">
        <x:f>IF(A54="","",IF(K54&gt;0,ROUND(K54*SETTINGS!$B$8+SETTINGS!$B$9,2),0))</x:f>
      </x:c>
      <x:c r="O54" s="108" t="str">
        <x:f>IF(A54="","",IF(F54="Yes",ROUND(MIN(K54*SETTINGS!$B$13,SETTINGS!$B$14),2),0))</x:f>
      </x:c>
      <x:c r="P54" s="108" t="str">
        <x:f>IF(A54="","",ROUND(K54*SETTINGS!$B$15,2))</x:f>
      </x:c>
      <x:c r="Q54" s="108" t="str">
        <x:f>IF(A54="","",ROUND(SUM(L54:P54)+G54,2))</x:f>
      </x:c>
      <x:c r="R54" s="108" t="str">
        <x:f>IF(A54="","",ROUND(K54-Q54,2))</x:f>
      </x:c>
      <x:c r="S54" s="109" t="str">
        <x:f>IF(OR(A54="",K54=0),"",R54/K54)</x:f>
      </x:c>
      <x:c r="T54" s="110"/>
    </x:row>
    <x:row r="55" ht="23" customHeight="1">
      <x:c r="A55" s="105"/>
      <x:c r="B55" s="106"/>
      <x:c r="C55" s="107"/>
      <x:c r="D55" s="107"/>
      <x:c r="E55" s="106"/>
      <x:c r="F55" s="106"/>
      <x:c r="G55" s="107"/>
      <x:c r="H55" s="107"/>
      <x:c r="I55" s="108" t="str">
        <x:f>IF(OR(C55="",E55=""),"",ROUND(C55*E55,2))</x:f>
      </x:c>
      <x:c r="J55" s="108" t="str">
        <x:f>IF(I55="","",ROUND(I55+D55,2))</x:f>
      </x:c>
      <x:c r="K55" s="108" t="str">
        <x:f>IF(J55="","",MAX(ROUND(J55-H55,2),0))</x:f>
      </x:c>
      <x:c r="L55" s="108" t="str">
        <x:f>IF(A55="","",ROUND(E55*SETTINGS!$B$6,2))</x:f>
      </x:c>
      <x:c r="M55" s="108" t="str">
        <x:f>IF(A55="","",ROUND(K55*SETTINGS!$B$7,2))</x:f>
      </x:c>
      <x:c r="N55" s="108" t="str">
        <x:f>IF(A55="","",IF(K55&gt;0,ROUND(K55*SETTINGS!$B$8+SETTINGS!$B$9,2),0))</x:f>
      </x:c>
      <x:c r="O55" s="108" t="str">
        <x:f>IF(A55="","",IF(F55="Yes",ROUND(MIN(K55*SETTINGS!$B$13,SETTINGS!$B$14),2),0))</x:f>
      </x:c>
      <x:c r="P55" s="108" t="str">
        <x:f>IF(A55="","",ROUND(K55*SETTINGS!$B$15,2))</x:f>
      </x:c>
      <x:c r="Q55" s="108" t="str">
        <x:f>IF(A55="","",ROUND(SUM(L55:P55)+G55,2))</x:f>
      </x:c>
      <x:c r="R55" s="108" t="str">
        <x:f>IF(A55="","",ROUND(K55-Q55,2))</x:f>
      </x:c>
      <x:c r="S55" s="109" t="str">
        <x:f>IF(OR(A55="",K55=0),"",R55/K55)</x:f>
      </x:c>
      <x:c r="T55" s="110"/>
    </x:row>
    <x:row r="56" ht="23" customHeight="1">
      <x:c r="A56" s="105"/>
      <x:c r="B56" s="106"/>
      <x:c r="C56" s="107"/>
      <x:c r="D56" s="107"/>
      <x:c r="E56" s="106"/>
      <x:c r="F56" s="106"/>
      <x:c r="G56" s="107"/>
      <x:c r="H56" s="107"/>
      <x:c r="I56" s="108" t="str">
        <x:f>IF(OR(C56="",E56=""),"",ROUND(C56*E56,2))</x:f>
      </x:c>
      <x:c r="J56" s="108" t="str">
        <x:f>IF(I56="","",ROUND(I56+D56,2))</x:f>
      </x:c>
      <x:c r="K56" s="108" t="str">
        <x:f>IF(J56="","",MAX(ROUND(J56-H56,2),0))</x:f>
      </x:c>
      <x:c r="L56" s="108" t="str">
        <x:f>IF(A56="","",ROUND(E56*SETTINGS!$B$6,2))</x:f>
      </x:c>
      <x:c r="M56" s="108" t="str">
        <x:f>IF(A56="","",ROUND(K56*SETTINGS!$B$7,2))</x:f>
      </x:c>
      <x:c r="N56" s="108" t="str">
        <x:f>IF(A56="","",IF(K56&gt;0,ROUND(K56*SETTINGS!$B$8+SETTINGS!$B$9,2),0))</x:f>
      </x:c>
      <x:c r="O56" s="108" t="str">
        <x:f>IF(A56="","",IF(F56="Yes",ROUND(MIN(K56*SETTINGS!$B$13,SETTINGS!$B$14),2),0))</x:f>
      </x:c>
      <x:c r="P56" s="108" t="str">
        <x:f>IF(A56="","",ROUND(K56*SETTINGS!$B$15,2))</x:f>
      </x:c>
      <x:c r="Q56" s="108" t="str">
        <x:f>IF(A56="","",ROUND(SUM(L56:P56)+G56,2))</x:f>
      </x:c>
      <x:c r="R56" s="108" t="str">
        <x:f>IF(A56="","",ROUND(K56-Q56,2))</x:f>
      </x:c>
      <x:c r="S56" s="109" t="str">
        <x:f>IF(OR(A56="",K56=0),"",R56/K56)</x:f>
      </x:c>
      <x:c r="T56" s="110"/>
    </x:row>
    <x:row r="57" ht="23" customHeight="1">
      <x:c r="A57" s="105"/>
      <x:c r="B57" s="106"/>
      <x:c r="C57" s="107"/>
      <x:c r="D57" s="107"/>
      <x:c r="E57" s="106"/>
      <x:c r="F57" s="106"/>
      <x:c r="G57" s="107"/>
      <x:c r="H57" s="107"/>
      <x:c r="I57" s="108" t="str">
        <x:f>IF(OR(C57="",E57=""),"",ROUND(C57*E57,2))</x:f>
      </x:c>
      <x:c r="J57" s="108" t="str">
        <x:f>IF(I57="","",ROUND(I57+D57,2))</x:f>
      </x:c>
      <x:c r="K57" s="108" t="str">
        <x:f>IF(J57="","",MAX(ROUND(J57-H57,2),0))</x:f>
      </x:c>
      <x:c r="L57" s="108" t="str">
        <x:f>IF(A57="","",ROUND(E57*SETTINGS!$B$6,2))</x:f>
      </x:c>
      <x:c r="M57" s="108" t="str">
        <x:f>IF(A57="","",ROUND(K57*SETTINGS!$B$7,2))</x:f>
      </x:c>
      <x:c r="N57" s="108" t="str">
        <x:f>IF(A57="","",IF(K57&gt;0,ROUND(K57*SETTINGS!$B$8+SETTINGS!$B$9,2),0))</x:f>
      </x:c>
      <x:c r="O57" s="108" t="str">
        <x:f>IF(A57="","",IF(F57="Yes",ROUND(MIN(K57*SETTINGS!$B$13,SETTINGS!$B$14),2),0))</x:f>
      </x:c>
      <x:c r="P57" s="108" t="str">
        <x:f>IF(A57="","",ROUND(K57*SETTINGS!$B$15,2))</x:f>
      </x:c>
      <x:c r="Q57" s="108" t="str">
        <x:f>IF(A57="","",ROUND(SUM(L57:P57)+G57,2))</x:f>
      </x:c>
      <x:c r="R57" s="108" t="str">
        <x:f>IF(A57="","",ROUND(K57-Q57,2))</x:f>
      </x:c>
      <x:c r="S57" s="109" t="str">
        <x:f>IF(OR(A57="",K57=0),"",R57/K57)</x:f>
      </x:c>
      <x:c r="T57" s="110"/>
    </x:row>
    <x:row r="58" ht="23" customHeight="1">
      <x:c r="A58" s="105"/>
      <x:c r="B58" s="106"/>
      <x:c r="C58" s="107"/>
      <x:c r="D58" s="107"/>
      <x:c r="E58" s="106"/>
      <x:c r="F58" s="106"/>
      <x:c r="G58" s="107"/>
      <x:c r="H58" s="107"/>
      <x:c r="I58" s="108" t="str">
        <x:f>IF(OR(C58="",E58=""),"",ROUND(C58*E58,2))</x:f>
      </x:c>
      <x:c r="J58" s="108" t="str">
        <x:f>IF(I58="","",ROUND(I58+D58,2))</x:f>
      </x:c>
      <x:c r="K58" s="108" t="str">
        <x:f>IF(J58="","",MAX(ROUND(J58-H58,2),0))</x:f>
      </x:c>
      <x:c r="L58" s="108" t="str">
        <x:f>IF(A58="","",ROUND(E58*SETTINGS!$B$6,2))</x:f>
      </x:c>
      <x:c r="M58" s="108" t="str">
        <x:f>IF(A58="","",ROUND(K58*SETTINGS!$B$7,2))</x:f>
      </x:c>
      <x:c r="N58" s="108" t="str">
        <x:f>IF(A58="","",IF(K58&gt;0,ROUND(K58*SETTINGS!$B$8+SETTINGS!$B$9,2),0))</x:f>
      </x:c>
      <x:c r="O58" s="108" t="str">
        <x:f>IF(A58="","",IF(F58="Yes",ROUND(MIN(K58*SETTINGS!$B$13,SETTINGS!$B$14),2),0))</x:f>
      </x:c>
      <x:c r="P58" s="108" t="str">
        <x:f>IF(A58="","",ROUND(K58*SETTINGS!$B$15,2))</x:f>
      </x:c>
      <x:c r="Q58" s="108" t="str">
        <x:f>IF(A58="","",ROUND(SUM(L58:P58)+G58,2))</x:f>
      </x:c>
      <x:c r="R58" s="108" t="str">
        <x:f>IF(A58="","",ROUND(K58-Q58,2))</x:f>
      </x:c>
      <x:c r="S58" s="109" t="str">
        <x:f>IF(OR(A58="",K58=0),"",R58/K58)</x:f>
      </x:c>
      <x:c r="T58" s="110"/>
    </x:row>
    <x:row r="59" ht="23" customHeight="1">
      <x:c r="A59" s="105"/>
      <x:c r="B59" s="106"/>
      <x:c r="C59" s="107"/>
      <x:c r="D59" s="107"/>
      <x:c r="E59" s="106"/>
      <x:c r="F59" s="106"/>
      <x:c r="G59" s="107"/>
      <x:c r="H59" s="107"/>
      <x:c r="I59" s="108" t="str">
        <x:f>IF(OR(C59="",E59=""),"",ROUND(C59*E59,2))</x:f>
      </x:c>
      <x:c r="J59" s="108" t="str">
        <x:f>IF(I59="","",ROUND(I59+D59,2))</x:f>
      </x:c>
      <x:c r="K59" s="108" t="str">
        <x:f>IF(J59="","",MAX(ROUND(J59-H59,2),0))</x:f>
      </x:c>
      <x:c r="L59" s="108" t="str">
        <x:f>IF(A59="","",ROUND(E59*SETTINGS!$B$6,2))</x:f>
      </x:c>
      <x:c r="M59" s="108" t="str">
        <x:f>IF(A59="","",ROUND(K59*SETTINGS!$B$7,2))</x:f>
      </x:c>
      <x:c r="N59" s="108" t="str">
        <x:f>IF(A59="","",IF(K59&gt;0,ROUND(K59*SETTINGS!$B$8+SETTINGS!$B$9,2),0))</x:f>
      </x:c>
      <x:c r="O59" s="108" t="str">
        <x:f>IF(A59="","",IF(F59="Yes",ROUND(MIN(K59*SETTINGS!$B$13,SETTINGS!$B$14),2),0))</x:f>
      </x:c>
      <x:c r="P59" s="108" t="str">
        <x:f>IF(A59="","",ROUND(K59*SETTINGS!$B$15,2))</x:f>
      </x:c>
      <x:c r="Q59" s="108" t="str">
        <x:f>IF(A59="","",ROUND(SUM(L59:P59)+G59,2))</x:f>
      </x:c>
      <x:c r="R59" s="108" t="str">
        <x:f>IF(A59="","",ROUND(K59-Q59,2))</x:f>
      </x:c>
      <x:c r="S59" s="109" t="str">
        <x:f>IF(OR(A59="",K59=0),"",R59/K59)</x:f>
      </x:c>
      <x:c r="T59" s="110"/>
    </x:row>
    <x:row r="60" ht="23" customHeight="1">
      <x:c r="A60" s="105"/>
      <x:c r="B60" s="106"/>
      <x:c r="C60" s="107"/>
      <x:c r="D60" s="107"/>
      <x:c r="E60" s="106"/>
      <x:c r="F60" s="106"/>
      <x:c r="G60" s="107"/>
      <x:c r="H60" s="107"/>
      <x:c r="I60" s="108" t="str">
        <x:f>IF(OR(C60="",E60=""),"",ROUND(C60*E60,2))</x:f>
      </x:c>
      <x:c r="J60" s="108" t="str">
        <x:f>IF(I60="","",ROUND(I60+D60,2))</x:f>
      </x:c>
      <x:c r="K60" s="108" t="str">
        <x:f>IF(J60="","",MAX(ROUND(J60-H60,2),0))</x:f>
      </x:c>
      <x:c r="L60" s="108" t="str">
        <x:f>IF(A60="","",ROUND(E60*SETTINGS!$B$6,2))</x:f>
      </x:c>
      <x:c r="M60" s="108" t="str">
        <x:f>IF(A60="","",ROUND(K60*SETTINGS!$B$7,2))</x:f>
      </x:c>
      <x:c r="N60" s="108" t="str">
        <x:f>IF(A60="","",IF(K60&gt;0,ROUND(K60*SETTINGS!$B$8+SETTINGS!$B$9,2),0))</x:f>
      </x:c>
      <x:c r="O60" s="108" t="str">
        <x:f>IF(A60="","",IF(F60="Yes",ROUND(MIN(K60*SETTINGS!$B$13,SETTINGS!$B$14),2),0))</x:f>
      </x:c>
      <x:c r="P60" s="108" t="str">
        <x:f>IF(A60="","",ROUND(K60*SETTINGS!$B$15,2))</x:f>
      </x:c>
      <x:c r="Q60" s="108" t="str">
        <x:f>IF(A60="","",ROUND(SUM(L60:P60)+G60,2))</x:f>
      </x:c>
      <x:c r="R60" s="108" t="str">
        <x:f>IF(A60="","",ROUND(K60-Q60,2))</x:f>
      </x:c>
      <x:c r="S60" s="109" t="str">
        <x:f>IF(OR(A60="",K60=0),"",R60/K60)</x:f>
      </x:c>
      <x:c r="T60" s="110"/>
    </x:row>
    <x:row r="61" ht="23" customHeight="1">
      <x:c r="A61" s="105"/>
      <x:c r="B61" s="106"/>
      <x:c r="C61" s="107"/>
      <x:c r="D61" s="107"/>
      <x:c r="E61" s="106"/>
      <x:c r="F61" s="106"/>
      <x:c r="G61" s="107"/>
      <x:c r="H61" s="107"/>
      <x:c r="I61" s="108" t="str">
        <x:f>IF(OR(C61="",E61=""),"",ROUND(C61*E61,2))</x:f>
      </x:c>
      <x:c r="J61" s="108" t="str">
        <x:f>IF(I61="","",ROUND(I61+D61,2))</x:f>
      </x:c>
      <x:c r="K61" s="108" t="str">
        <x:f>IF(J61="","",MAX(ROUND(J61-H61,2),0))</x:f>
      </x:c>
      <x:c r="L61" s="108" t="str">
        <x:f>IF(A61="","",ROUND(E61*SETTINGS!$B$6,2))</x:f>
      </x:c>
      <x:c r="M61" s="108" t="str">
        <x:f>IF(A61="","",ROUND(K61*SETTINGS!$B$7,2))</x:f>
      </x:c>
      <x:c r="N61" s="108" t="str">
        <x:f>IF(A61="","",IF(K61&gt;0,ROUND(K61*SETTINGS!$B$8+SETTINGS!$B$9,2),0))</x:f>
      </x:c>
      <x:c r="O61" s="108" t="str">
        <x:f>IF(A61="","",IF(F61="Yes",ROUND(MIN(K61*SETTINGS!$B$13,SETTINGS!$B$14),2),0))</x:f>
      </x:c>
      <x:c r="P61" s="108" t="str">
        <x:f>IF(A61="","",ROUND(K61*SETTINGS!$B$15,2))</x:f>
      </x:c>
      <x:c r="Q61" s="108" t="str">
        <x:f>IF(A61="","",ROUND(SUM(L61:P61)+G61,2))</x:f>
      </x:c>
      <x:c r="R61" s="108" t="str">
        <x:f>IF(A61="","",ROUND(K61-Q61,2))</x:f>
      </x:c>
      <x:c r="S61" s="109" t="str">
        <x:f>IF(OR(A61="",K61=0),"",R61/K61)</x:f>
      </x:c>
      <x:c r="T61" s="110"/>
    </x:row>
    <x:row r="62" ht="23" customHeight="1">
      <x:c r="A62" s="105"/>
      <x:c r="B62" s="106"/>
      <x:c r="C62" s="107"/>
      <x:c r="D62" s="107"/>
      <x:c r="E62" s="106"/>
      <x:c r="F62" s="106"/>
      <x:c r="G62" s="107"/>
      <x:c r="H62" s="107"/>
      <x:c r="I62" s="108" t="str">
        <x:f>IF(OR(C62="",E62=""),"",ROUND(C62*E62,2))</x:f>
      </x:c>
      <x:c r="J62" s="108" t="str">
        <x:f>IF(I62="","",ROUND(I62+D62,2))</x:f>
      </x:c>
      <x:c r="K62" s="108" t="str">
        <x:f>IF(J62="","",MAX(ROUND(J62-H62,2),0))</x:f>
      </x:c>
      <x:c r="L62" s="108" t="str">
        <x:f>IF(A62="","",ROUND(E62*SETTINGS!$B$6,2))</x:f>
      </x:c>
      <x:c r="M62" s="108" t="str">
        <x:f>IF(A62="","",ROUND(K62*SETTINGS!$B$7,2))</x:f>
      </x:c>
      <x:c r="N62" s="108" t="str">
        <x:f>IF(A62="","",IF(K62&gt;0,ROUND(K62*SETTINGS!$B$8+SETTINGS!$B$9,2),0))</x:f>
      </x:c>
      <x:c r="O62" s="108" t="str">
        <x:f>IF(A62="","",IF(F62="Yes",ROUND(MIN(K62*SETTINGS!$B$13,SETTINGS!$B$14),2),0))</x:f>
      </x:c>
      <x:c r="P62" s="108" t="str">
        <x:f>IF(A62="","",ROUND(K62*SETTINGS!$B$15,2))</x:f>
      </x:c>
      <x:c r="Q62" s="108" t="str">
        <x:f>IF(A62="","",ROUND(SUM(L62:P62)+G62,2))</x:f>
      </x:c>
      <x:c r="R62" s="108" t="str">
        <x:f>IF(A62="","",ROUND(K62-Q62,2))</x:f>
      </x:c>
      <x:c r="S62" s="109" t="str">
        <x:f>IF(OR(A62="",K62=0),"",R62/K62)</x:f>
      </x:c>
      <x:c r="T62" s="110"/>
    </x:row>
    <x:row r="63" ht="23" customHeight="1">
      <x:c r="A63" s="105"/>
      <x:c r="B63" s="106"/>
      <x:c r="C63" s="107"/>
      <x:c r="D63" s="107"/>
      <x:c r="E63" s="106"/>
      <x:c r="F63" s="106"/>
      <x:c r="G63" s="107"/>
      <x:c r="H63" s="107"/>
      <x:c r="I63" s="108" t="str">
        <x:f>IF(OR(C63="",E63=""),"",ROUND(C63*E63,2))</x:f>
      </x:c>
      <x:c r="J63" s="108" t="str">
        <x:f>IF(I63="","",ROUND(I63+D63,2))</x:f>
      </x:c>
      <x:c r="K63" s="108" t="str">
        <x:f>IF(J63="","",MAX(ROUND(J63-H63,2),0))</x:f>
      </x:c>
      <x:c r="L63" s="108" t="str">
        <x:f>IF(A63="","",ROUND(E63*SETTINGS!$B$6,2))</x:f>
      </x:c>
      <x:c r="M63" s="108" t="str">
        <x:f>IF(A63="","",ROUND(K63*SETTINGS!$B$7,2))</x:f>
      </x:c>
      <x:c r="N63" s="108" t="str">
        <x:f>IF(A63="","",IF(K63&gt;0,ROUND(K63*SETTINGS!$B$8+SETTINGS!$B$9,2),0))</x:f>
      </x:c>
      <x:c r="O63" s="108" t="str">
        <x:f>IF(A63="","",IF(F63="Yes",ROUND(MIN(K63*SETTINGS!$B$13,SETTINGS!$B$14),2),0))</x:f>
      </x:c>
      <x:c r="P63" s="108" t="str">
        <x:f>IF(A63="","",ROUND(K63*SETTINGS!$B$15,2))</x:f>
      </x:c>
      <x:c r="Q63" s="108" t="str">
        <x:f>IF(A63="","",ROUND(SUM(L63:P63)+G63,2))</x:f>
      </x:c>
      <x:c r="R63" s="108" t="str">
        <x:f>IF(A63="","",ROUND(K63-Q63,2))</x:f>
      </x:c>
      <x:c r="S63" s="109" t="str">
        <x:f>IF(OR(A63="",K63=0),"",R63/K63)</x:f>
      </x:c>
      <x:c r="T63" s="110"/>
    </x:row>
    <x:row r="64" ht="23" customHeight="1">
      <x:c r="A64" s="105"/>
      <x:c r="B64" s="106"/>
      <x:c r="C64" s="107"/>
      <x:c r="D64" s="107"/>
      <x:c r="E64" s="106"/>
      <x:c r="F64" s="106"/>
      <x:c r="G64" s="107"/>
      <x:c r="H64" s="107"/>
      <x:c r="I64" s="108" t="str">
        <x:f>IF(OR(C64="",E64=""),"",ROUND(C64*E64,2))</x:f>
      </x:c>
      <x:c r="J64" s="108" t="str">
        <x:f>IF(I64="","",ROUND(I64+D64,2))</x:f>
      </x:c>
      <x:c r="K64" s="108" t="str">
        <x:f>IF(J64="","",MAX(ROUND(J64-H64,2),0))</x:f>
      </x:c>
      <x:c r="L64" s="108" t="str">
        <x:f>IF(A64="","",ROUND(E64*SETTINGS!$B$6,2))</x:f>
      </x:c>
      <x:c r="M64" s="108" t="str">
        <x:f>IF(A64="","",ROUND(K64*SETTINGS!$B$7,2))</x:f>
      </x:c>
      <x:c r="N64" s="108" t="str">
        <x:f>IF(A64="","",IF(K64&gt;0,ROUND(K64*SETTINGS!$B$8+SETTINGS!$B$9,2),0))</x:f>
      </x:c>
      <x:c r="O64" s="108" t="str">
        <x:f>IF(A64="","",IF(F64="Yes",ROUND(MIN(K64*SETTINGS!$B$13,SETTINGS!$B$14),2),0))</x:f>
      </x:c>
      <x:c r="P64" s="108" t="str">
        <x:f>IF(A64="","",ROUND(K64*SETTINGS!$B$15,2))</x:f>
      </x:c>
      <x:c r="Q64" s="108" t="str">
        <x:f>IF(A64="","",ROUND(SUM(L64:P64)+G64,2))</x:f>
      </x:c>
      <x:c r="R64" s="108" t="str">
        <x:f>IF(A64="","",ROUND(K64-Q64,2))</x:f>
      </x:c>
      <x:c r="S64" s="109" t="str">
        <x:f>IF(OR(A64="",K64=0),"",R64/K64)</x:f>
      </x:c>
      <x:c r="T64" s="110"/>
    </x:row>
    <x:row r="65" ht="23" customHeight="1">
      <x:c r="A65" s="105"/>
      <x:c r="B65" s="106"/>
      <x:c r="C65" s="107"/>
      <x:c r="D65" s="107"/>
      <x:c r="E65" s="106"/>
      <x:c r="F65" s="106"/>
      <x:c r="G65" s="107"/>
      <x:c r="H65" s="107"/>
      <x:c r="I65" s="108" t="str">
        <x:f>IF(OR(C65="",E65=""),"",ROUND(C65*E65,2))</x:f>
      </x:c>
      <x:c r="J65" s="108" t="str">
        <x:f>IF(I65="","",ROUND(I65+D65,2))</x:f>
      </x:c>
      <x:c r="K65" s="108" t="str">
        <x:f>IF(J65="","",MAX(ROUND(J65-H65,2),0))</x:f>
      </x:c>
      <x:c r="L65" s="108" t="str">
        <x:f>IF(A65="","",ROUND(E65*SETTINGS!$B$6,2))</x:f>
      </x:c>
      <x:c r="M65" s="108" t="str">
        <x:f>IF(A65="","",ROUND(K65*SETTINGS!$B$7,2))</x:f>
      </x:c>
      <x:c r="N65" s="108" t="str">
        <x:f>IF(A65="","",IF(K65&gt;0,ROUND(K65*SETTINGS!$B$8+SETTINGS!$B$9,2),0))</x:f>
      </x:c>
      <x:c r="O65" s="108" t="str">
        <x:f>IF(A65="","",IF(F65="Yes",ROUND(MIN(K65*SETTINGS!$B$13,SETTINGS!$B$14),2),0))</x:f>
      </x:c>
      <x:c r="P65" s="108" t="str">
        <x:f>IF(A65="","",ROUND(K65*SETTINGS!$B$15,2))</x:f>
      </x:c>
      <x:c r="Q65" s="108" t="str">
        <x:f>IF(A65="","",ROUND(SUM(L65:P65)+G65,2))</x:f>
      </x:c>
      <x:c r="R65" s="108" t="str">
        <x:f>IF(A65="","",ROUND(K65-Q65,2))</x:f>
      </x:c>
      <x:c r="S65" s="109" t="str">
        <x:f>IF(OR(A65="",K65=0),"",R65/K65)</x:f>
      </x:c>
      <x:c r="T65" s="110"/>
    </x:row>
    <x:row r="66" ht="23" customHeight="1">
      <x:c r="A66" s="105"/>
      <x:c r="B66" s="106"/>
      <x:c r="C66" s="107"/>
      <x:c r="D66" s="107"/>
      <x:c r="E66" s="106"/>
      <x:c r="F66" s="106"/>
      <x:c r="G66" s="107"/>
      <x:c r="H66" s="107"/>
      <x:c r="I66" s="108" t="str">
        <x:f>IF(OR(C66="",E66=""),"",ROUND(C66*E66,2))</x:f>
      </x:c>
      <x:c r="J66" s="108" t="str">
        <x:f>IF(I66="","",ROUND(I66+D66,2))</x:f>
      </x:c>
      <x:c r="K66" s="108" t="str">
        <x:f>IF(J66="","",MAX(ROUND(J66-H66,2),0))</x:f>
      </x:c>
      <x:c r="L66" s="108" t="str">
        <x:f>IF(A66="","",ROUND(E66*SETTINGS!$B$6,2))</x:f>
      </x:c>
      <x:c r="M66" s="108" t="str">
        <x:f>IF(A66="","",ROUND(K66*SETTINGS!$B$7,2))</x:f>
      </x:c>
      <x:c r="N66" s="108" t="str">
        <x:f>IF(A66="","",IF(K66&gt;0,ROUND(K66*SETTINGS!$B$8+SETTINGS!$B$9,2),0))</x:f>
      </x:c>
      <x:c r="O66" s="108" t="str">
        <x:f>IF(A66="","",IF(F66="Yes",ROUND(MIN(K66*SETTINGS!$B$13,SETTINGS!$B$14),2),0))</x:f>
      </x:c>
      <x:c r="P66" s="108" t="str">
        <x:f>IF(A66="","",ROUND(K66*SETTINGS!$B$15,2))</x:f>
      </x:c>
      <x:c r="Q66" s="108" t="str">
        <x:f>IF(A66="","",ROUND(SUM(L66:P66)+G66,2))</x:f>
      </x:c>
      <x:c r="R66" s="108" t="str">
        <x:f>IF(A66="","",ROUND(K66-Q66,2))</x:f>
      </x:c>
      <x:c r="S66" s="109" t="str">
        <x:f>IF(OR(A66="",K66=0),"",R66/K66)</x:f>
      </x:c>
      <x:c r="T66" s="110"/>
    </x:row>
    <x:row r="67" ht="23" customHeight="1">
      <x:c r="A67" s="105"/>
      <x:c r="B67" s="106"/>
      <x:c r="C67" s="107"/>
      <x:c r="D67" s="107"/>
      <x:c r="E67" s="106"/>
      <x:c r="F67" s="106"/>
      <x:c r="G67" s="107"/>
      <x:c r="H67" s="107"/>
      <x:c r="I67" s="108" t="str">
        <x:f>IF(OR(C67="",E67=""),"",ROUND(C67*E67,2))</x:f>
      </x:c>
      <x:c r="J67" s="108" t="str">
        <x:f>IF(I67="","",ROUND(I67+D67,2))</x:f>
      </x:c>
      <x:c r="K67" s="108" t="str">
        <x:f>IF(J67="","",MAX(ROUND(J67-H67,2),0))</x:f>
      </x:c>
      <x:c r="L67" s="108" t="str">
        <x:f>IF(A67="","",ROUND(E67*SETTINGS!$B$6,2))</x:f>
      </x:c>
      <x:c r="M67" s="108" t="str">
        <x:f>IF(A67="","",ROUND(K67*SETTINGS!$B$7,2))</x:f>
      </x:c>
      <x:c r="N67" s="108" t="str">
        <x:f>IF(A67="","",IF(K67&gt;0,ROUND(K67*SETTINGS!$B$8+SETTINGS!$B$9,2),0))</x:f>
      </x:c>
      <x:c r="O67" s="108" t="str">
        <x:f>IF(A67="","",IF(F67="Yes",ROUND(MIN(K67*SETTINGS!$B$13,SETTINGS!$B$14),2),0))</x:f>
      </x:c>
      <x:c r="P67" s="108" t="str">
        <x:f>IF(A67="","",ROUND(K67*SETTINGS!$B$15,2))</x:f>
      </x:c>
      <x:c r="Q67" s="108" t="str">
        <x:f>IF(A67="","",ROUND(SUM(L67:P67)+G67,2))</x:f>
      </x:c>
      <x:c r="R67" s="108" t="str">
        <x:f>IF(A67="","",ROUND(K67-Q67,2))</x:f>
      </x:c>
      <x:c r="S67" s="109" t="str">
        <x:f>IF(OR(A67="",K67=0),"",R67/K67)</x:f>
      </x:c>
      <x:c r="T67" s="110"/>
    </x:row>
    <x:row r="68" ht="23" customHeight="1">
      <x:c r="A68" s="105"/>
      <x:c r="B68" s="106"/>
      <x:c r="C68" s="107"/>
      <x:c r="D68" s="107"/>
      <x:c r="E68" s="106"/>
      <x:c r="F68" s="106"/>
      <x:c r="G68" s="107"/>
      <x:c r="H68" s="107"/>
      <x:c r="I68" s="108" t="str">
        <x:f>IF(OR(C68="",E68=""),"",ROUND(C68*E68,2))</x:f>
      </x:c>
      <x:c r="J68" s="108" t="str">
        <x:f>IF(I68="","",ROUND(I68+D68,2))</x:f>
      </x:c>
      <x:c r="K68" s="108" t="str">
        <x:f>IF(J68="","",MAX(ROUND(J68-H68,2),0))</x:f>
      </x:c>
      <x:c r="L68" s="108" t="str">
        <x:f>IF(A68="","",ROUND(E68*SETTINGS!$B$6,2))</x:f>
      </x:c>
      <x:c r="M68" s="108" t="str">
        <x:f>IF(A68="","",ROUND(K68*SETTINGS!$B$7,2))</x:f>
      </x:c>
      <x:c r="N68" s="108" t="str">
        <x:f>IF(A68="","",IF(K68&gt;0,ROUND(K68*SETTINGS!$B$8+SETTINGS!$B$9,2),0))</x:f>
      </x:c>
      <x:c r="O68" s="108" t="str">
        <x:f>IF(A68="","",IF(F68="Yes",ROUND(MIN(K68*SETTINGS!$B$13,SETTINGS!$B$14),2),0))</x:f>
      </x:c>
      <x:c r="P68" s="108" t="str">
        <x:f>IF(A68="","",ROUND(K68*SETTINGS!$B$15,2))</x:f>
      </x:c>
      <x:c r="Q68" s="108" t="str">
        <x:f>IF(A68="","",ROUND(SUM(L68:P68)+G68,2))</x:f>
      </x:c>
      <x:c r="R68" s="108" t="str">
        <x:f>IF(A68="","",ROUND(K68-Q68,2))</x:f>
      </x:c>
      <x:c r="S68" s="109" t="str">
        <x:f>IF(OR(A68="",K68=0),"",R68/K68)</x:f>
      </x:c>
      <x:c r="T68" s="110"/>
    </x:row>
    <x:row r="69" ht="23" customHeight="1">
      <x:c r="A69" s="105"/>
      <x:c r="B69" s="106"/>
      <x:c r="C69" s="107"/>
      <x:c r="D69" s="107"/>
      <x:c r="E69" s="106"/>
      <x:c r="F69" s="106"/>
      <x:c r="G69" s="107"/>
      <x:c r="H69" s="107"/>
      <x:c r="I69" s="108" t="str">
        <x:f>IF(OR(C69="",E69=""),"",ROUND(C69*E69,2))</x:f>
      </x:c>
      <x:c r="J69" s="108" t="str">
        <x:f>IF(I69="","",ROUND(I69+D69,2))</x:f>
      </x:c>
      <x:c r="K69" s="108" t="str">
        <x:f>IF(J69="","",MAX(ROUND(J69-H69,2),0))</x:f>
      </x:c>
      <x:c r="L69" s="108" t="str">
        <x:f>IF(A69="","",ROUND(E69*SETTINGS!$B$6,2))</x:f>
      </x:c>
      <x:c r="M69" s="108" t="str">
        <x:f>IF(A69="","",ROUND(K69*SETTINGS!$B$7,2))</x:f>
      </x:c>
      <x:c r="N69" s="108" t="str">
        <x:f>IF(A69="","",IF(K69&gt;0,ROUND(K69*SETTINGS!$B$8+SETTINGS!$B$9,2),0))</x:f>
      </x:c>
      <x:c r="O69" s="108" t="str">
        <x:f>IF(A69="","",IF(F69="Yes",ROUND(MIN(K69*SETTINGS!$B$13,SETTINGS!$B$14),2),0))</x:f>
      </x:c>
      <x:c r="P69" s="108" t="str">
        <x:f>IF(A69="","",ROUND(K69*SETTINGS!$B$15,2))</x:f>
      </x:c>
      <x:c r="Q69" s="108" t="str">
        <x:f>IF(A69="","",ROUND(SUM(L69:P69)+G69,2))</x:f>
      </x:c>
      <x:c r="R69" s="108" t="str">
        <x:f>IF(A69="","",ROUND(K69-Q69,2))</x:f>
      </x:c>
      <x:c r="S69" s="109" t="str">
        <x:f>IF(OR(A69="",K69=0),"",R69/K69)</x:f>
      </x:c>
      <x:c r="T69" s="110"/>
    </x:row>
    <x:row r="70" ht="23" customHeight="1">
      <x:c r="A70" s="105"/>
      <x:c r="B70" s="106"/>
      <x:c r="C70" s="107"/>
      <x:c r="D70" s="107"/>
      <x:c r="E70" s="106"/>
      <x:c r="F70" s="106"/>
      <x:c r="G70" s="107"/>
      <x:c r="H70" s="107"/>
      <x:c r="I70" s="108" t="str">
        <x:f>IF(OR(C70="",E70=""),"",ROUND(C70*E70,2))</x:f>
      </x:c>
      <x:c r="J70" s="108" t="str">
        <x:f>IF(I70="","",ROUND(I70+D70,2))</x:f>
      </x:c>
      <x:c r="K70" s="108" t="str">
        <x:f>IF(J70="","",MAX(ROUND(J70-H70,2),0))</x:f>
      </x:c>
      <x:c r="L70" s="108" t="str">
        <x:f>IF(A70="","",ROUND(E70*SETTINGS!$B$6,2))</x:f>
      </x:c>
      <x:c r="M70" s="108" t="str">
        <x:f>IF(A70="","",ROUND(K70*SETTINGS!$B$7,2))</x:f>
      </x:c>
      <x:c r="N70" s="108" t="str">
        <x:f>IF(A70="","",IF(K70&gt;0,ROUND(K70*SETTINGS!$B$8+SETTINGS!$B$9,2),0))</x:f>
      </x:c>
      <x:c r="O70" s="108" t="str">
        <x:f>IF(A70="","",IF(F70="Yes",ROUND(MIN(K70*SETTINGS!$B$13,SETTINGS!$B$14),2),0))</x:f>
      </x:c>
      <x:c r="P70" s="108" t="str">
        <x:f>IF(A70="","",ROUND(K70*SETTINGS!$B$15,2))</x:f>
      </x:c>
      <x:c r="Q70" s="108" t="str">
        <x:f>IF(A70="","",ROUND(SUM(L70:P70)+G70,2))</x:f>
      </x:c>
      <x:c r="R70" s="108" t="str">
        <x:f>IF(A70="","",ROUND(K70-Q70,2))</x:f>
      </x:c>
      <x:c r="S70" s="109" t="str">
        <x:f>IF(OR(A70="",K70=0),"",R70/K70)</x:f>
      </x:c>
      <x:c r="T70" s="110"/>
    </x:row>
    <x:row r="71" ht="23" customHeight="1">
      <x:c r="A71" s="105"/>
      <x:c r="B71" s="106"/>
      <x:c r="C71" s="107"/>
      <x:c r="D71" s="107"/>
      <x:c r="E71" s="106"/>
      <x:c r="F71" s="106"/>
      <x:c r="G71" s="107"/>
      <x:c r="H71" s="107"/>
      <x:c r="I71" s="108" t="str">
        <x:f>IF(OR(C71="",E71=""),"",ROUND(C71*E71,2))</x:f>
      </x:c>
      <x:c r="J71" s="108" t="str">
        <x:f>IF(I71="","",ROUND(I71+D71,2))</x:f>
      </x:c>
      <x:c r="K71" s="108" t="str">
        <x:f>IF(J71="","",MAX(ROUND(J71-H71,2),0))</x:f>
      </x:c>
      <x:c r="L71" s="108" t="str">
        <x:f>IF(A71="","",ROUND(E71*SETTINGS!$B$6,2))</x:f>
      </x:c>
      <x:c r="M71" s="108" t="str">
        <x:f>IF(A71="","",ROUND(K71*SETTINGS!$B$7,2))</x:f>
      </x:c>
      <x:c r="N71" s="108" t="str">
        <x:f>IF(A71="","",IF(K71&gt;0,ROUND(K71*SETTINGS!$B$8+SETTINGS!$B$9,2),0))</x:f>
      </x:c>
      <x:c r="O71" s="108" t="str">
        <x:f>IF(A71="","",IF(F71="Yes",ROUND(MIN(K71*SETTINGS!$B$13,SETTINGS!$B$14),2),0))</x:f>
      </x:c>
      <x:c r="P71" s="108" t="str">
        <x:f>IF(A71="","",ROUND(K71*SETTINGS!$B$15,2))</x:f>
      </x:c>
      <x:c r="Q71" s="108" t="str">
        <x:f>IF(A71="","",ROUND(SUM(L71:P71)+G71,2))</x:f>
      </x:c>
      <x:c r="R71" s="108" t="str">
        <x:f>IF(A71="","",ROUND(K71-Q71,2))</x:f>
      </x:c>
      <x:c r="S71" s="109" t="str">
        <x:f>IF(OR(A71="",K71=0),"",R71/K71)</x:f>
      </x:c>
      <x:c r="T71" s="110"/>
    </x:row>
    <x:row r="72" ht="23" customHeight="1">
      <x:c r="A72" s="105"/>
      <x:c r="B72" s="106"/>
      <x:c r="C72" s="107"/>
      <x:c r="D72" s="107"/>
      <x:c r="E72" s="106"/>
      <x:c r="F72" s="106"/>
      <x:c r="G72" s="107"/>
      <x:c r="H72" s="107"/>
      <x:c r="I72" s="108" t="str">
        <x:f>IF(OR(C72="",E72=""),"",ROUND(C72*E72,2))</x:f>
      </x:c>
      <x:c r="J72" s="108" t="str">
        <x:f>IF(I72="","",ROUND(I72+D72,2))</x:f>
      </x:c>
      <x:c r="K72" s="108" t="str">
        <x:f>IF(J72="","",MAX(ROUND(J72-H72,2),0))</x:f>
      </x:c>
      <x:c r="L72" s="108" t="str">
        <x:f>IF(A72="","",ROUND(E72*SETTINGS!$B$6,2))</x:f>
      </x:c>
      <x:c r="M72" s="108" t="str">
        <x:f>IF(A72="","",ROUND(K72*SETTINGS!$B$7,2))</x:f>
      </x:c>
      <x:c r="N72" s="108" t="str">
        <x:f>IF(A72="","",IF(K72&gt;0,ROUND(K72*SETTINGS!$B$8+SETTINGS!$B$9,2),0))</x:f>
      </x:c>
      <x:c r="O72" s="108" t="str">
        <x:f>IF(A72="","",IF(F72="Yes",ROUND(MIN(K72*SETTINGS!$B$13,SETTINGS!$B$14),2),0))</x:f>
      </x:c>
      <x:c r="P72" s="108" t="str">
        <x:f>IF(A72="","",ROUND(K72*SETTINGS!$B$15,2))</x:f>
      </x:c>
      <x:c r="Q72" s="108" t="str">
        <x:f>IF(A72="","",ROUND(SUM(L72:P72)+G72,2))</x:f>
      </x:c>
      <x:c r="R72" s="108" t="str">
        <x:f>IF(A72="","",ROUND(K72-Q72,2))</x:f>
      </x:c>
      <x:c r="S72" s="109" t="str">
        <x:f>IF(OR(A72="",K72=0),"",R72/K72)</x:f>
      </x:c>
      <x:c r="T72" s="110"/>
    </x:row>
    <x:row r="73" ht="23" customHeight="1">
      <x:c r="A73" s="105"/>
      <x:c r="B73" s="106"/>
      <x:c r="C73" s="107"/>
      <x:c r="D73" s="107"/>
      <x:c r="E73" s="106"/>
      <x:c r="F73" s="106"/>
      <x:c r="G73" s="107"/>
      <x:c r="H73" s="107"/>
      <x:c r="I73" s="108" t="str">
        <x:f>IF(OR(C73="",E73=""),"",ROUND(C73*E73,2))</x:f>
      </x:c>
      <x:c r="J73" s="108" t="str">
        <x:f>IF(I73="","",ROUND(I73+D73,2))</x:f>
      </x:c>
      <x:c r="K73" s="108" t="str">
        <x:f>IF(J73="","",MAX(ROUND(J73-H73,2),0))</x:f>
      </x:c>
      <x:c r="L73" s="108" t="str">
        <x:f>IF(A73="","",ROUND(E73*SETTINGS!$B$6,2))</x:f>
      </x:c>
      <x:c r="M73" s="108" t="str">
        <x:f>IF(A73="","",ROUND(K73*SETTINGS!$B$7,2))</x:f>
      </x:c>
      <x:c r="N73" s="108" t="str">
        <x:f>IF(A73="","",IF(K73&gt;0,ROUND(K73*SETTINGS!$B$8+SETTINGS!$B$9,2),0))</x:f>
      </x:c>
      <x:c r="O73" s="108" t="str">
        <x:f>IF(A73="","",IF(F73="Yes",ROUND(MIN(K73*SETTINGS!$B$13,SETTINGS!$B$14),2),0))</x:f>
      </x:c>
      <x:c r="P73" s="108" t="str">
        <x:f>IF(A73="","",ROUND(K73*SETTINGS!$B$15,2))</x:f>
      </x:c>
      <x:c r="Q73" s="108" t="str">
        <x:f>IF(A73="","",ROUND(SUM(L73:P73)+G73,2))</x:f>
      </x:c>
      <x:c r="R73" s="108" t="str">
        <x:f>IF(A73="","",ROUND(K73-Q73,2))</x:f>
      </x:c>
      <x:c r="S73" s="109" t="str">
        <x:f>IF(OR(A73="",K73=0),"",R73/K73)</x:f>
      </x:c>
      <x:c r="T73" s="110"/>
    </x:row>
    <x:row r="74" ht="23" customHeight="1">
      <x:c r="A74" s="105"/>
      <x:c r="B74" s="106"/>
      <x:c r="C74" s="107"/>
      <x:c r="D74" s="107"/>
      <x:c r="E74" s="106"/>
      <x:c r="F74" s="106"/>
      <x:c r="G74" s="107"/>
      <x:c r="H74" s="107"/>
      <x:c r="I74" s="108" t="str">
        <x:f>IF(OR(C74="",E74=""),"",ROUND(C74*E74,2))</x:f>
      </x:c>
      <x:c r="J74" s="108" t="str">
        <x:f>IF(I74="","",ROUND(I74+D74,2))</x:f>
      </x:c>
      <x:c r="K74" s="108" t="str">
        <x:f>IF(J74="","",MAX(ROUND(J74-H74,2),0))</x:f>
      </x:c>
      <x:c r="L74" s="108" t="str">
        <x:f>IF(A74="","",ROUND(E74*SETTINGS!$B$6,2))</x:f>
      </x:c>
      <x:c r="M74" s="108" t="str">
        <x:f>IF(A74="","",ROUND(K74*SETTINGS!$B$7,2))</x:f>
      </x:c>
      <x:c r="N74" s="108" t="str">
        <x:f>IF(A74="","",IF(K74&gt;0,ROUND(K74*SETTINGS!$B$8+SETTINGS!$B$9,2),0))</x:f>
      </x:c>
      <x:c r="O74" s="108" t="str">
        <x:f>IF(A74="","",IF(F74="Yes",ROUND(MIN(K74*SETTINGS!$B$13,SETTINGS!$B$14),2),0))</x:f>
      </x:c>
      <x:c r="P74" s="108" t="str">
        <x:f>IF(A74="","",ROUND(K74*SETTINGS!$B$15,2))</x:f>
      </x:c>
      <x:c r="Q74" s="108" t="str">
        <x:f>IF(A74="","",ROUND(SUM(L74:P74)+G74,2))</x:f>
      </x:c>
      <x:c r="R74" s="108" t="str">
        <x:f>IF(A74="","",ROUND(K74-Q74,2))</x:f>
      </x:c>
      <x:c r="S74" s="109" t="str">
        <x:f>IF(OR(A74="",K74=0),"",R74/K74)</x:f>
      </x:c>
      <x:c r="T74" s="110"/>
    </x:row>
    <x:row r="75" ht="23" customHeight="1">
      <x:c r="A75" s="105"/>
      <x:c r="B75" s="106"/>
      <x:c r="C75" s="107"/>
      <x:c r="D75" s="107"/>
      <x:c r="E75" s="106"/>
      <x:c r="F75" s="106"/>
      <x:c r="G75" s="107"/>
      <x:c r="H75" s="107"/>
      <x:c r="I75" s="108" t="str">
        <x:f>IF(OR(C75="",E75=""),"",ROUND(C75*E75,2))</x:f>
      </x:c>
      <x:c r="J75" s="108" t="str">
        <x:f>IF(I75="","",ROUND(I75+D75,2))</x:f>
      </x:c>
      <x:c r="K75" s="108" t="str">
        <x:f>IF(J75="","",MAX(ROUND(J75-H75,2),0))</x:f>
      </x:c>
      <x:c r="L75" s="108" t="str">
        <x:f>IF(A75="","",ROUND(E75*SETTINGS!$B$6,2))</x:f>
      </x:c>
      <x:c r="M75" s="108" t="str">
        <x:f>IF(A75="","",ROUND(K75*SETTINGS!$B$7,2))</x:f>
      </x:c>
      <x:c r="N75" s="108" t="str">
        <x:f>IF(A75="","",IF(K75&gt;0,ROUND(K75*SETTINGS!$B$8+SETTINGS!$B$9,2),0))</x:f>
      </x:c>
      <x:c r="O75" s="108" t="str">
        <x:f>IF(A75="","",IF(F75="Yes",ROUND(MIN(K75*SETTINGS!$B$13,SETTINGS!$B$14),2),0))</x:f>
      </x:c>
      <x:c r="P75" s="108" t="str">
        <x:f>IF(A75="","",ROUND(K75*SETTINGS!$B$15,2))</x:f>
      </x:c>
      <x:c r="Q75" s="108" t="str">
        <x:f>IF(A75="","",ROUND(SUM(L75:P75)+G75,2))</x:f>
      </x:c>
      <x:c r="R75" s="108" t="str">
        <x:f>IF(A75="","",ROUND(K75-Q75,2))</x:f>
      </x:c>
      <x:c r="S75" s="109" t="str">
        <x:f>IF(OR(A75="",K75=0),"",R75/K75)</x:f>
      </x:c>
      <x:c r="T75" s="110"/>
    </x:row>
    <x:row r="76" ht="23" customHeight="1">
      <x:c r="A76" s="105"/>
      <x:c r="B76" s="106"/>
      <x:c r="C76" s="107"/>
      <x:c r="D76" s="107"/>
      <x:c r="E76" s="106"/>
      <x:c r="F76" s="106"/>
      <x:c r="G76" s="107"/>
      <x:c r="H76" s="107"/>
      <x:c r="I76" s="108" t="str">
        <x:f>IF(OR(C76="",E76=""),"",ROUND(C76*E76,2))</x:f>
      </x:c>
      <x:c r="J76" s="108" t="str">
        <x:f>IF(I76="","",ROUND(I76+D76,2))</x:f>
      </x:c>
      <x:c r="K76" s="108" t="str">
        <x:f>IF(J76="","",MAX(ROUND(J76-H76,2),0))</x:f>
      </x:c>
      <x:c r="L76" s="108" t="str">
        <x:f>IF(A76="","",ROUND(E76*SETTINGS!$B$6,2))</x:f>
      </x:c>
      <x:c r="M76" s="108" t="str">
        <x:f>IF(A76="","",ROUND(K76*SETTINGS!$B$7,2))</x:f>
      </x:c>
      <x:c r="N76" s="108" t="str">
        <x:f>IF(A76="","",IF(K76&gt;0,ROUND(K76*SETTINGS!$B$8+SETTINGS!$B$9,2),0))</x:f>
      </x:c>
      <x:c r="O76" s="108" t="str">
        <x:f>IF(A76="","",IF(F76="Yes",ROUND(MIN(K76*SETTINGS!$B$13,SETTINGS!$B$14),2),0))</x:f>
      </x:c>
      <x:c r="P76" s="108" t="str">
        <x:f>IF(A76="","",ROUND(K76*SETTINGS!$B$15,2))</x:f>
      </x:c>
      <x:c r="Q76" s="108" t="str">
        <x:f>IF(A76="","",ROUND(SUM(L76:P76)+G76,2))</x:f>
      </x:c>
      <x:c r="R76" s="108" t="str">
        <x:f>IF(A76="","",ROUND(K76-Q76,2))</x:f>
      </x:c>
      <x:c r="S76" s="109" t="str">
        <x:f>IF(OR(A76="",K76=0),"",R76/K76)</x:f>
      </x:c>
      <x:c r="T76" s="110"/>
    </x:row>
    <x:row r="77" ht="23" customHeight="1">
      <x:c r="A77" s="105"/>
      <x:c r="B77" s="106"/>
      <x:c r="C77" s="107"/>
      <x:c r="D77" s="107"/>
      <x:c r="E77" s="106"/>
      <x:c r="F77" s="106"/>
      <x:c r="G77" s="107"/>
      <x:c r="H77" s="107"/>
      <x:c r="I77" s="108" t="str">
        <x:f>IF(OR(C77="",E77=""),"",ROUND(C77*E77,2))</x:f>
      </x:c>
      <x:c r="J77" s="108" t="str">
        <x:f>IF(I77="","",ROUND(I77+D77,2))</x:f>
      </x:c>
      <x:c r="K77" s="108" t="str">
        <x:f>IF(J77="","",MAX(ROUND(J77-H77,2),0))</x:f>
      </x:c>
      <x:c r="L77" s="108" t="str">
        <x:f>IF(A77="","",ROUND(E77*SETTINGS!$B$6,2))</x:f>
      </x:c>
      <x:c r="M77" s="108" t="str">
        <x:f>IF(A77="","",ROUND(K77*SETTINGS!$B$7,2))</x:f>
      </x:c>
      <x:c r="N77" s="108" t="str">
        <x:f>IF(A77="","",IF(K77&gt;0,ROUND(K77*SETTINGS!$B$8+SETTINGS!$B$9,2),0))</x:f>
      </x:c>
      <x:c r="O77" s="108" t="str">
        <x:f>IF(A77="","",IF(F77="Yes",ROUND(MIN(K77*SETTINGS!$B$13,SETTINGS!$B$14),2),0))</x:f>
      </x:c>
      <x:c r="P77" s="108" t="str">
        <x:f>IF(A77="","",ROUND(K77*SETTINGS!$B$15,2))</x:f>
      </x:c>
      <x:c r="Q77" s="108" t="str">
        <x:f>IF(A77="","",ROUND(SUM(L77:P77)+G77,2))</x:f>
      </x:c>
      <x:c r="R77" s="108" t="str">
        <x:f>IF(A77="","",ROUND(K77-Q77,2))</x:f>
      </x:c>
      <x:c r="S77" s="109" t="str">
        <x:f>IF(OR(A77="",K77=0),"",R77/K77)</x:f>
      </x:c>
      <x:c r="T77" s="110"/>
    </x:row>
    <x:row r="78" ht="23" customHeight="1">
      <x:c r="A78" s="105"/>
      <x:c r="B78" s="106"/>
      <x:c r="C78" s="107"/>
      <x:c r="D78" s="107"/>
      <x:c r="E78" s="106"/>
      <x:c r="F78" s="106"/>
      <x:c r="G78" s="107"/>
      <x:c r="H78" s="107"/>
      <x:c r="I78" s="108" t="str">
        <x:f>IF(OR(C78="",E78=""),"",ROUND(C78*E78,2))</x:f>
      </x:c>
      <x:c r="J78" s="108" t="str">
        <x:f>IF(I78="","",ROUND(I78+D78,2))</x:f>
      </x:c>
      <x:c r="K78" s="108" t="str">
        <x:f>IF(J78="","",MAX(ROUND(J78-H78,2),0))</x:f>
      </x:c>
      <x:c r="L78" s="108" t="str">
        <x:f>IF(A78="","",ROUND(E78*SETTINGS!$B$6,2))</x:f>
      </x:c>
      <x:c r="M78" s="108" t="str">
        <x:f>IF(A78="","",ROUND(K78*SETTINGS!$B$7,2))</x:f>
      </x:c>
      <x:c r="N78" s="108" t="str">
        <x:f>IF(A78="","",IF(K78&gt;0,ROUND(K78*SETTINGS!$B$8+SETTINGS!$B$9,2),0))</x:f>
      </x:c>
      <x:c r="O78" s="108" t="str">
        <x:f>IF(A78="","",IF(F78="Yes",ROUND(MIN(K78*SETTINGS!$B$13,SETTINGS!$B$14),2),0))</x:f>
      </x:c>
      <x:c r="P78" s="108" t="str">
        <x:f>IF(A78="","",ROUND(K78*SETTINGS!$B$15,2))</x:f>
      </x:c>
      <x:c r="Q78" s="108" t="str">
        <x:f>IF(A78="","",ROUND(SUM(L78:P78)+G78,2))</x:f>
      </x:c>
      <x:c r="R78" s="108" t="str">
        <x:f>IF(A78="","",ROUND(K78-Q78,2))</x:f>
      </x:c>
      <x:c r="S78" s="109" t="str">
        <x:f>IF(OR(A78="",K78=0),"",R78/K78)</x:f>
      </x:c>
      <x:c r="T78" s="110"/>
    </x:row>
    <x:row r="79" ht="23" customHeight="1">
      <x:c r="A79" s="105"/>
      <x:c r="B79" s="106"/>
      <x:c r="C79" s="107"/>
      <x:c r="D79" s="107"/>
      <x:c r="E79" s="106"/>
      <x:c r="F79" s="106"/>
      <x:c r="G79" s="107"/>
      <x:c r="H79" s="107"/>
      <x:c r="I79" s="108" t="str">
        <x:f>IF(OR(C79="",E79=""),"",ROUND(C79*E79,2))</x:f>
      </x:c>
      <x:c r="J79" s="108" t="str">
        <x:f>IF(I79="","",ROUND(I79+D79,2))</x:f>
      </x:c>
      <x:c r="K79" s="108" t="str">
        <x:f>IF(J79="","",MAX(ROUND(J79-H79,2),0))</x:f>
      </x:c>
      <x:c r="L79" s="108" t="str">
        <x:f>IF(A79="","",ROUND(E79*SETTINGS!$B$6,2))</x:f>
      </x:c>
      <x:c r="M79" s="108" t="str">
        <x:f>IF(A79="","",ROUND(K79*SETTINGS!$B$7,2))</x:f>
      </x:c>
      <x:c r="N79" s="108" t="str">
        <x:f>IF(A79="","",IF(K79&gt;0,ROUND(K79*SETTINGS!$B$8+SETTINGS!$B$9,2),0))</x:f>
      </x:c>
      <x:c r="O79" s="108" t="str">
        <x:f>IF(A79="","",IF(F79="Yes",ROUND(MIN(K79*SETTINGS!$B$13,SETTINGS!$B$14),2),0))</x:f>
      </x:c>
      <x:c r="P79" s="108" t="str">
        <x:f>IF(A79="","",ROUND(K79*SETTINGS!$B$15,2))</x:f>
      </x:c>
      <x:c r="Q79" s="108" t="str">
        <x:f>IF(A79="","",ROUND(SUM(L79:P79)+G79,2))</x:f>
      </x:c>
      <x:c r="R79" s="108" t="str">
        <x:f>IF(A79="","",ROUND(K79-Q79,2))</x:f>
      </x:c>
      <x:c r="S79" s="109" t="str">
        <x:f>IF(OR(A79="",K79=0),"",R79/K79)</x:f>
      </x:c>
      <x:c r="T79" s="110"/>
    </x:row>
    <x:row r="80" ht="23" customHeight="1">
      <x:c r="A80" s="105"/>
      <x:c r="B80" s="106"/>
      <x:c r="C80" s="107"/>
      <x:c r="D80" s="107"/>
      <x:c r="E80" s="106"/>
      <x:c r="F80" s="106"/>
      <x:c r="G80" s="107"/>
      <x:c r="H80" s="107"/>
      <x:c r="I80" s="108" t="str">
        <x:f>IF(OR(C80="",E80=""),"",ROUND(C80*E80,2))</x:f>
      </x:c>
      <x:c r="J80" s="108" t="str">
        <x:f>IF(I80="","",ROUND(I80+D80,2))</x:f>
      </x:c>
      <x:c r="K80" s="108" t="str">
        <x:f>IF(J80="","",MAX(ROUND(J80-H80,2),0))</x:f>
      </x:c>
      <x:c r="L80" s="108" t="str">
        <x:f>IF(A80="","",ROUND(E80*SETTINGS!$B$6,2))</x:f>
      </x:c>
      <x:c r="M80" s="108" t="str">
        <x:f>IF(A80="","",ROUND(K80*SETTINGS!$B$7,2))</x:f>
      </x:c>
      <x:c r="N80" s="108" t="str">
        <x:f>IF(A80="","",IF(K80&gt;0,ROUND(K80*SETTINGS!$B$8+SETTINGS!$B$9,2),0))</x:f>
      </x:c>
      <x:c r="O80" s="108" t="str">
        <x:f>IF(A80="","",IF(F80="Yes",ROUND(MIN(K80*SETTINGS!$B$13,SETTINGS!$B$14),2),0))</x:f>
      </x:c>
      <x:c r="P80" s="108" t="str">
        <x:f>IF(A80="","",ROUND(K80*SETTINGS!$B$15,2))</x:f>
      </x:c>
      <x:c r="Q80" s="108" t="str">
        <x:f>IF(A80="","",ROUND(SUM(L80:P80)+G80,2))</x:f>
      </x:c>
      <x:c r="R80" s="108" t="str">
        <x:f>IF(A80="","",ROUND(K80-Q80,2))</x:f>
      </x:c>
      <x:c r="S80" s="109" t="str">
        <x:f>IF(OR(A80="",K80=0),"",R80/K80)</x:f>
      </x:c>
      <x:c r="T80" s="110"/>
    </x:row>
    <x:row r="81" ht="23" customHeight="1">
      <x:c r="A81" s="105"/>
      <x:c r="B81" s="106"/>
      <x:c r="C81" s="107"/>
      <x:c r="D81" s="107"/>
      <x:c r="E81" s="106"/>
      <x:c r="F81" s="106"/>
      <x:c r="G81" s="107"/>
      <x:c r="H81" s="107"/>
      <x:c r="I81" s="108" t="str">
        <x:f>IF(OR(C81="",E81=""),"",ROUND(C81*E81,2))</x:f>
      </x:c>
      <x:c r="J81" s="108" t="str">
        <x:f>IF(I81="","",ROUND(I81+D81,2))</x:f>
      </x:c>
      <x:c r="K81" s="108" t="str">
        <x:f>IF(J81="","",MAX(ROUND(J81-H81,2),0))</x:f>
      </x:c>
      <x:c r="L81" s="108" t="str">
        <x:f>IF(A81="","",ROUND(E81*SETTINGS!$B$6,2))</x:f>
      </x:c>
      <x:c r="M81" s="108" t="str">
        <x:f>IF(A81="","",ROUND(K81*SETTINGS!$B$7,2))</x:f>
      </x:c>
      <x:c r="N81" s="108" t="str">
        <x:f>IF(A81="","",IF(K81&gt;0,ROUND(K81*SETTINGS!$B$8+SETTINGS!$B$9,2),0))</x:f>
      </x:c>
      <x:c r="O81" s="108" t="str">
        <x:f>IF(A81="","",IF(F81="Yes",ROUND(MIN(K81*SETTINGS!$B$13,SETTINGS!$B$14),2),0))</x:f>
      </x:c>
      <x:c r="P81" s="108" t="str">
        <x:f>IF(A81="","",ROUND(K81*SETTINGS!$B$15,2))</x:f>
      </x:c>
      <x:c r="Q81" s="108" t="str">
        <x:f>IF(A81="","",ROUND(SUM(L81:P81)+G81,2))</x:f>
      </x:c>
      <x:c r="R81" s="108" t="str">
        <x:f>IF(A81="","",ROUND(K81-Q81,2))</x:f>
      </x:c>
      <x:c r="S81" s="109" t="str">
        <x:f>IF(OR(A81="",K81=0),"",R81/K81)</x:f>
      </x:c>
      <x:c r="T81" s="110"/>
    </x:row>
    <x:row r="82" ht="23" customHeight="1">
      <x:c r="A82" s="105"/>
      <x:c r="B82" s="106"/>
      <x:c r="C82" s="107"/>
      <x:c r="D82" s="107"/>
      <x:c r="E82" s="106"/>
      <x:c r="F82" s="106"/>
      <x:c r="G82" s="107"/>
      <x:c r="H82" s="107"/>
      <x:c r="I82" s="108" t="str">
        <x:f>IF(OR(C82="",E82=""),"",ROUND(C82*E82,2))</x:f>
      </x:c>
      <x:c r="J82" s="108" t="str">
        <x:f>IF(I82="","",ROUND(I82+D82,2))</x:f>
      </x:c>
      <x:c r="K82" s="108" t="str">
        <x:f>IF(J82="","",MAX(ROUND(J82-H82,2),0))</x:f>
      </x:c>
      <x:c r="L82" s="108" t="str">
        <x:f>IF(A82="","",ROUND(E82*SETTINGS!$B$6,2))</x:f>
      </x:c>
      <x:c r="M82" s="108" t="str">
        <x:f>IF(A82="","",ROUND(K82*SETTINGS!$B$7,2))</x:f>
      </x:c>
      <x:c r="N82" s="108" t="str">
        <x:f>IF(A82="","",IF(K82&gt;0,ROUND(K82*SETTINGS!$B$8+SETTINGS!$B$9,2),0))</x:f>
      </x:c>
      <x:c r="O82" s="108" t="str">
        <x:f>IF(A82="","",IF(F82="Yes",ROUND(MIN(K82*SETTINGS!$B$13,SETTINGS!$B$14),2),0))</x:f>
      </x:c>
      <x:c r="P82" s="108" t="str">
        <x:f>IF(A82="","",ROUND(K82*SETTINGS!$B$15,2))</x:f>
      </x:c>
      <x:c r="Q82" s="108" t="str">
        <x:f>IF(A82="","",ROUND(SUM(L82:P82)+G82,2))</x:f>
      </x:c>
      <x:c r="R82" s="108" t="str">
        <x:f>IF(A82="","",ROUND(K82-Q82,2))</x:f>
      </x:c>
      <x:c r="S82" s="109" t="str">
        <x:f>IF(OR(A82="",K82=0),"",R82/K82)</x:f>
      </x:c>
      <x:c r="T82" s="110"/>
    </x:row>
    <x:row r="83" ht="23" customHeight="1">
      <x:c r="A83" s="105"/>
      <x:c r="B83" s="106"/>
      <x:c r="C83" s="107"/>
      <x:c r="D83" s="107"/>
      <x:c r="E83" s="106"/>
      <x:c r="F83" s="106"/>
      <x:c r="G83" s="107"/>
      <x:c r="H83" s="107"/>
      <x:c r="I83" s="108" t="str">
        <x:f>IF(OR(C83="",E83=""),"",ROUND(C83*E83,2))</x:f>
      </x:c>
      <x:c r="J83" s="108" t="str">
        <x:f>IF(I83="","",ROUND(I83+D83,2))</x:f>
      </x:c>
      <x:c r="K83" s="108" t="str">
        <x:f>IF(J83="","",MAX(ROUND(J83-H83,2),0))</x:f>
      </x:c>
      <x:c r="L83" s="108" t="str">
        <x:f>IF(A83="","",ROUND(E83*SETTINGS!$B$6,2))</x:f>
      </x:c>
      <x:c r="M83" s="108" t="str">
        <x:f>IF(A83="","",ROUND(K83*SETTINGS!$B$7,2))</x:f>
      </x:c>
      <x:c r="N83" s="108" t="str">
        <x:f>IF(A83="","",IF(K83&gt;0,ROUND(K83*SETTINGS!$B$8+SETTINGS!$B$9,2),0))</x:f>
      </x:c>
      <x:c r="O83" s="108" t="str">
        <x:f>IF(A83="","",IF(F83="Yes",ROUND(MIN(K83*SETTINGS!$B$13,SETTINGS!$B$14),2),0))</x:f>
      </x:c>
      <x:c r="P83" s="108" t="str">
        <x:f>IF(A83="","",ROUND(K83*SETTINGS!$B$15,2))</x:f>
      </x:c>
      <x:c r="Q83" s="108" t="str">
        <x:f>IF(A83="","",ROUND(SUM(L83:P83)+G83,2))</x:f>
      </x:c>
      <x:c r="R83" s="108" t="str">
        <x:f>IF(A83="","",ROUND(K83-Q83,2))</x:f>
      </x:c>
      <x:c r="S83" s="109" t="str">
        <x:f>IF(OR(A83="",K83=0),"",R83/K83)</x:f>
      </x:c>
      <x:c r="T83" s="110"/>
    </x:row>
    <x:row r="84" ht="23" customHeight="1">
      <x:c r="A84" s="105"/>
      <x:c r="B84" s="106"/>
      <x:c r="C84" s="107"/>
      <x:c r="D84" s="107"/>
      <x:c r="E84" s="106"/>
      <x:c r="F84" s="106"/>
      <x:c r="G84" s="107"/>
      <x:c r="H84" s="107"/>
      <x:c r="I84" s="108" t="str">
        <x:f>IF(OR(C84="",E84=""),"",ROUND(C84*E84,2))</x:f>
      </x:c>
      <x:c r="J84" s="108" t="str">
        <x:f>IF(I84="","",ROUND(I84+D84,2))</x:f>
      </x:c>
      <x:c r="K84" s="108" t="str">
        <x:f>IF(J84="","",MAX(ROUND(J84-H84,2),0))</x:f>
      </x:c>
      <x:c r="L84" s="108" t="str">
        <x:f>IF(A84="","",ROUND(E84*SETTINGS!$B$6,2))</x:f>
      </x:c>
      <x:c r="M84" s="108" t="str">
        <x:f>IF(A84="","",ROUND(K84*SETTINGS!$B$7,2))</x:f>
      </x:c>
      <x:c r="N84" s="108" t="str">
        <x:f>IF(A84="","",IF(K84&gt;0,ROUND(K84*SETTINGS!$B$8+SETTINGS!$B$9,2),0))</x:f>
      </x:c>
      <x:c r="O84" s="108" t="str">
        <x:f>IF(A84="","",IF(F84="Yes",ROUND(MIN(K84*SETTINGS!$B$13,SETTINGS!$B$14),2),0))</x:f>
      </x:c>
      <x:c r="P84" s="108" t="str">
        <x:f>IF(A84="","",ROUND(K84*SETTINGS!$B$15,2))</x:f>
      </x:c>
      <x:c r="Q84" s="108" t="str">
        <x:f>IF(A84="","",ROUND(SUM(L84:P84)+G84,2))</x:f>
      </x:c>
      <x:c r="R84" s="108" t="str">
        <x:f>IF(A84="","",ROUND(K84-Q84,2))</x:f>
      </x:c>
      <x:c r="S84" s="109" t="str">
        <x:f>IF(OR(A84="",K84=0),"",R84/K84)</x:f>
      </x:c>
      <x:c r="T84" s="110"/>
    </x:row>
    <x:row r="85" ht="23" customHeight="1">
      <x:c r="A85" s="105"/>
      <x:c r="B85" s="106"/>
      <x:c r="C85" s="107"/>
      <x:c r="D85" s="107"/>
      <x:c r="E85" s="106"/>
      <x:c r="F85" s="106"/>
      <x:c r="G85" s="107"/>
      <x:c r="H85" s="107"/>
      <x:c r="I85" s="108" t="str">
        <x:f>IF(OR(C85="",E85=""),"",ROUND(C85*E85,2))</x:f>
      </x:c>
      <x:c r="J85" s="108" t="str">
        <x:f>IF(I85="","",ROUND(I85+D85,2))</x:f>
      </x:c>
      <x:c r="K85" s="108" t="str">
        <x:f>IF(J85="","",MAX(ROUND(J85-H85,2),0))</x:f>
      </x:c>
      <x:c r="L85" s="108" t="str">
        <x:f>IF(A85="","",ROUND(E85*SETTINGS!$B$6,2))</x:f>
      </x:c>
      <x:c r="M85" s="108" t="str">
        <x:f>IF(A85="","",ROUND(K85*SETTINGS!$B$7,2))</x:f>
      </x:c>
      <x:c r="N85" s="108" t="str">
        <x:f>IF(A85="","",IF(K85&gt;0,ROUND(K85*SETTINGS!$B$8+SETTINGS!$B$9,2),0))</x:f>
      </x:c>
      <x:c r="O85" s="108" t="str">
        <x:f>IF(A85="","",IF(F85="Yes",ROUND(MIN(K85*SETTINGS!$B$13,SETTINGS!$B$14),2),0))</x:f>
      </x:c>
      <x:c r="P85" s="108" t="str">
        <x:f>IF(A85="","",ROUND(K85*SETTINGS!$B$15,2))</x:f>
      </x:c>
      <x:c r="Q85" s="108" t="str">
        <x:f>IF(A85="","",ROUND(SUM(L85:P85)+G85,2))</x:f>
      </x:c>
      <x:c r="R85" s="108" t="str">
        <x:f>IF(A85="","",ROUND(K85-Q85,2))</x:f>
      </x:c>
      <x:c r="S85" s="109" t="str">
        <x:f>IF(OR(A85="",K85=0),"",R85/K85)</x:f>
      </x:c>
      <x:c r="T85" s="110"/>
    </x:row>
    <x:row r="86" ht="23" customHeight="1">
      <x:c r="A86" s="105"/>
      <x:c r="B86" s="106"/>
      <x:c r="C86" s="107"/>
      <x:c r="D86" s="107"/>
      <x:c r="E86" s="106"/>
      <x:c r="F86" s="106"/>
      <x:c r="G86" s="107"/>
      <x:c r="H86" s="107"/>
      <x:c r="I86" s="108" t="str">
        <x:f>IF(OR(C86="",E86=""),"",ROUND(C86*E86,2))</x:f>
      </x:c>
      <x:c r="J86" s="108" t="str">
        <x:f>IF(I86="","",ROUND(I86+D86,2))</x:f>
      </x:c>
      <x:c r="K86" s="108" t="str">
        <x:f>IF(J86="","",MAX(ROUND(J86-H86,2),0))</x:f>
      </x:c>
      <x:c r="L86" s="108" t="str">
        <x:f>IF(A86="","",ROUND(E86*SETTINGS!$B$6,2))</x:f>
      </x:c>
      <x:c r="M86" s="108" t="str">
        <x:f>IF(A86="","",ROUND(K86*SETTINGS!$B$7,2))</x:f>
      </x:c>
      <x:c r="N86" s="108" t="str">
        <x:f>IF(A86="","",IF(K86&gt;0,ROUND(K86*SETTINGS!$B$8+SETTINGS!$B$9,2),0))</x:f>
      </x:c>
      <x:c r="O86" s="108" t="str">
        <x:f>IF(A86="","",IF(F86="Yes",ROUND(MIN(K86*SETTINGS!$B$13,SETTINGS!$B$14),2),0))</x:f>
      </x:c>
      <x:c r="P86" s="108" t="str">
        <x:f>IF(A86="","",ROUND(K86*SETTINGS!$B$15,2))</x:f>
      </x:c>
      <x:c r="Q86" s="108" t="str">
        <x:f>IF(A86="","",ROUND(SUM(L86:P86)+G86,2))</x:f>
      </x:c>
      <x:c r="R86" s="108" t="str">
        <x:f>IF(A86="","",ROUND(K86-Q86,2))</x:f>
      </x:c>
      <x:c r="S86" s="109" t="str">
        <x:f>IF(OR(A86="",K86=0),"",R86/K86)</x:f>
      </x:c>
      <x:c r="T86" s="110"/>
    </x:row>
    <x:row r="87" ht="23" customHeight="1">
      <x:c r="A87" s="105"/>
      <x:c r="B87" s="106"/>
      <x:c r="C87" s="107"/>
      <x:c r="D87" s="107"/>
      <x:c r="E87" s="106"/>
      <x:c r="F87" s="106"/>
      <x:c r="G87" s="107"/>
      <x:c r="H87" s="107"/>
      <x:c r="I87" s="108" t="str">
        <x:f>IF(OR(C87="",E87=""),"",ROUND(C87*E87,2))</x:f>
      </x:c>
      <x:c r="J87" s="108" t="str">
        <x:f>IF(I87="","",ROUND(I87+D87,2))</x:f>
      </x:c>
      <x:c r="K87" s="108" t="str">
        <x:f>IF(J87="","",MAX(ROUND(J87-H87,2),0))</x:f>
      </x:c>
      <x:c r="L87" s="108" t="str">
        <x:f>IF(A87="","",ROUND(E87*SETTINGS!$B$6,2))</x:f>
      </x:c>
      <x:c r="M87" s="108" t="str">
        <x:f>IF(A87="","",ROUND(K87*SETTINGS!$B$7,2))</x:f>
      </x:c>
      <x:c r="N87" s="108" t="str">
        <x:f>IF(A87="","",IF(K87&gt;0,ROUND(K87*SETTINGS!$B$8+SETTINGS!$B$9,2),0))</x:f>
      </x:c>
      <x:c r="O87" s="108" t="str">
        <x:f>IF(A87="","",IF(F87="Yes",ROUND(MIN(K87*SETTINGS!$B$13,SETTINGS!$B$14),2),0))</x:f>
      </x:c>
      <x:c r="P87" s="108" t="str">
        <x:f>IF(A87="","",ROUND(K87*SETTINGS!$B$15,2))</x:f>
      </x:c>
      <x:c r="Q87" s="108" t="str">
        <x:f>IF(A87="","",ROUND(SUM(L87:P87)+G87,2))</x:f>
      </x:c>
      <x:c r="R87" s="108" t="str">
        <x:f>IF(A87="","",ROUND(K87-Q87,2))</x:f>
      </x:c>
      <x:c r="S87" s="109" t="str">
        <x:f>IF(OR(A87="",K87=0),"",R87/K87)</x:f>
      </x:c>
      <x:c r="T87" s="110"/>
    </x:row>
    <x:row r="88" ht="23" customHeight="1">
      <x:c r="A88" s="105"/>
      <x:c r="B88" s="106"/>
      <x:c r="C88" s="107"/>
      <x:c r="D88" s="107"/>
      <x:c r="E88" s="106"/>
      <x:c r="F88" s="106"/>
      <x:c r="G88" s="107"/>
      <x:c r="H88" s="107"/>
      <x:c r="I88" s="108" t="str">
        <x:f>IF(OR(C88="",E88=""),"",ROUND(C88*E88,2))</x:f>
      </x:c>
      <x:c r="J88" s="108" t="str">
        <x:f>IF(I88="","",ROUND(I88+D88,2))</x:f>
      </x:c>
      <x:c r="K88" s="108" t="str">
        <x:f>IF(J88="","",MAX(ROUND(J88-H88,2),0))</x:f>
      </x:c>
      <x:c r="L88" s="108" t="str">
        <x:f>IF(A88="","",ROUND(E88*SETTINGS!$B$6,2))</x:f>
      </x:c>
      <x:c r="M88" s="108" t="str">
        <x:f>IF(A88="","",ROUND(K88*SETTINGS!$B$7,2))</x:f>
      </x:c>
      <x:c r="N88" s="108" t="str">
        <x:f>IF(A88="","",IF(K88&gt;0,ROUND(K88*SETTINGS!$B$8+SETTINGS!$B$9,2),0))</x:f>
      </x:c>
      <x:c r="O88" s="108" t="str">
        <x:f>IF(A88="","",IF(F88="Yes",ROUND(MIN(K88*SETTINGS!$B$13,SETTINGS!$B$14),2),0))</x:f>
      </x:c>
      <x:c r="P88" s="108" t="str">
        <x:f>IF(A88="","",ROUND(K88*SETTINGS!$B$15,2))</x:f>
      </x:c>
      <x:c r="Q88" s="108" t="str">
        <x:f>IF(A88="","",ROUND(SUM(L88:P88)+G88,2))</x:f>
      </x:c>
      <x:c r="R88" s="108" t="str">
        <x:f>IF(A88="","",ROUND(K88-Q88,2))</x:f>
      </x:c>
      <x:c r="S88" s="109" t="str">
        <x:f>IF(OR(A88="",K88=0),"",R88/K88)</x:f>
      </x:c>
      <x:c r="T88" s="110"/>
    </x:row>
    <x:row r="89" ht="23" customHeight="1">
      <x:c r="A89" s="105"/>
      <x:c r="B89" s="106"/>
      <x:c r="C89" s="107"/>
      <x:c r="D89" s="107"/>
      <x:c r="E89" s="106"/>
      <x:c r="F89" s="106"/>
      <x:c r="G89" s="107"/>
      <x:c r="H89" s="107"/>
      <x:c r="I89" s="108" t="str">
        <x:f>IF(OR(C89="",E89=""),"",ROUND(C89*E89,2))</x:f>
      </x:c>
      <x:c r="J89" s="108" t="str">
        <x:f>IF(I89="","",ROUND(I89+D89,2))</x:f>
      </x:c>
      <x:c r="K89" s="108" t="str">
        <x:f>IF(J89="","",MAX(ROUND(J89-H89,2),0))</x:f>
      </x:c>
      <x:c r="L89" s="108" t="str">
        <x:f>IF(A89="","",ROUND(E89*SETTINGS!$B$6,2))</x:f>
      </x:c>
      <x:c r="M89" s="108" t="str">
        <x:f>IF(A89="","",ROUND(K89*SETTINGS!$B$7,2))</x:f>
      </x:c>
      <x:c r="N89" s="108" t="str">
        <x:f>IF(A89="","",IF(K89&gt;0,ROUND(K89*SETTINGS!$B$8+SETTINGS!$B$9,2),0))</x:f>
      </x:c>
      <x:c r="O89" s="108" t="str">
        <x:f>IF(A89="","",IF(F89="Yes",ROUND(MIN(K89*SETTINGS!$B$13,SETTINGS!$B$14),2),0))</x:f>
      </x:c>
      <x:c r="P89" s="108" t="str">
        <x:f>IF(A89="","",ROUND(K89*SETTINGS!$B$15,2))</x:f>
      </x:c>
      <x:c r="Q89" s="108" t="str">
        <x:f>IF(A89="","",ROUND(SUM(L89:P89)+G89,2))</x:f>
      </x:c>
      <x:c r="R89" s="108" t="str">
        <x:f>IF(A89="","",ROUND(K89-Q89,2))</x:f>
      </x:c>
      <x:c r="S89" s="109" t="str">
        <x:f>IF(OR(A89="",K89=0),"",R89/K89)</x:f>
      </x:c>
      <x:c r="T89" s="110"/>
    </x:row>
    <x:row r="90" ht="23" customHeight="1">
      <x:c r="A90" s="105"/>
      <x:c r="B90" s="106"/>
      <x:c r="C90" s="107"/>
      <x:c r="D90" s="107"/>
      <x:c r="E90" s="106"/>
      <x:c r="F90" s="106"/>
      <x:c r="G90" s="107"/>
      <x:c r="H90" s="107"/>
      <x:c r="I90" s="108" t="str">
        <x:f>IF(OR(C90="",E90=""),"",ROUND(C90*E90,2))</x:f>
      </x:c>
      <x:c r="J90" s="108" t="str">
        <x:f>IF(I90="","",ROUND(I90+D90,2))</x:f>
      </x:c>
      <x:c r="K90" s="108" t="str">
        <x:f>IF(J90="","",MAX(ROUND(J90-H90,2),0))</x:f>
      </x:c>
      <x:c r="L90" s="108" t="str">
        <x:f>IF(A90="","",ROUND(E90*SETTINGS!$B$6,2))</x:f>
      </x:c>
      <x:c r="M90" s="108" t="str">
        <x:f>IF(A90="","",ROUND(K90*SETTINGS!$B$7,2))</x:f>
      </x:c>
      <x:c r="N90" s="108" t="str">
        <x:f>IF(A90="","",IF(K90&gt;0,ROUND(K90*SETTINGS!$B$8+SETTINGS!$B$9,2),0))</x:f>
      </x:c>
      <x:c r="O90" s="108" t="str">
        <x:f>IF(A90="","",IF(F90="Yes",ROUND(MIN(K90*SETTINGS!$B$13,SETTINGS!$B$14),2),0))</x:f>
      </x:c>
      <x:c r="P90" s="108" t="str">
        <x:f>IF(A90="","",ROUND(K90*SETTINGS!$B$15,2))</x:f>
      </x:c>
      <x:c r="Q90" s="108" t="str">
        <x:f>IF(A90="","",ROUND(SUM(L90:P90)+G90,2))</x:f>
      </x:c>
      <x:c r="R90" s="108" t="str">
        <x:f>IF(A90="","",ROUND(K90-Q90,2))</x:f>
      </x:c>
      <x:c r="S90" s="109" t="str">
        <x:f>IF(OR(A90="",K90=0),"",R90/K90)</x:f>
      </x:c>
      <x:c r="T90" s="110"/>
    </x:row>
    <x:row r="91" ht="23" customHeight="1">
      <x:c r="A91" s="105"/>
      <x:c r="B91" s="106"/>
      <x:c r="C91" s="107"/>
      <x:c r="D91" s="107"/>
      <x:c r="E91" s="106"/>
      <x:c r="F91" s="106"/>
      <x:c r="G91" s="107"/>
      <x:c r="H91" s="107"/>
      <x:c r="I91" s="108" t="str">
        <x:f>IF(OR(C91="",E91=""),"",ROUND(C91*E91,2))</x:f>
      </x:c>
      <x:c r="J91" s="108" t="str">
        <x:f>IF(I91="","",ROUND(I91+D91,2))</x:f>
      </x:c>
      <x:c r="K91" s="108" t="str">
        <x:f>IF(J91="","",MAX(ROUND(J91-H91,2),0))</x:f>
      </x:c>
      <x:c r="L91" s="108" t="str">
        <x:f>IF(A91="","",ROUND(E91*SETTINGS!$B$6,2))</x:f>
      </x:c>
      <x:c r="M91" s="108" t="str">
        <x:f>IF(A91="","",ROUND(K91*SETTINGS!$B$7,2))</x:f>
      </x:c>
      <x:c r="N91" s="108" t="str">
        <x:f>IF(A91="","",IF(K91&gt;0,ROUND(K91*SETTINGS!$B$8+SETTINGS!$B$9,2),0))</x:f>
      </x:c>
      <x:c r="O91" s="108" t="str">
        <x:f>IF(A91="","",IF(F91="Yes",ROUND(MIN(K91*SETTINGS!$B$13,SETTINGS!$B$14),2),0))</x:f>
      </x:c>
      <x:c r="P91" s="108" t="str">
        <x:f>IF(A91="","",ROUND(K91*SETTINGS!$B$15,2))</x:f>
      </x:c>
      <x:c r="Q91" s="108" t="str">
        <x:f>IF(A91="","",ROUND(SUM(L91:P91)+G91,2))</x:f>
      </x:c>
      <x:c r="R91" s="108" t="str">
        <x:f>IF(A91="","",ROUND(K91-Q91,2))</x:f>
      </x:c>
      <x:c r="S91" s="109" t="str">
        <x:f>IF(OR(A91="",K91=0),"",R91/K91)</x:f>
      </x:c>
      <x:c r="T91" s="110"/>
    </x:row>
    <x:row r="92" ht="23" customHeight="1">
      <x:c r="A92" s="105"/>
      <x:c r="B92" s="106"/>
      <x:c r="C92" s="107"/>
      <x:c r="D92" s="107"/>
      <x:c r="E92" s="106"/>
      <x:c r="F92" s="106"/>
      <x:c r="G92" s="107"/>
      <x:c r="H92" s="107"/>
      <x:c r="I92" s="108" t="str">
        <x:f>IF(OR(C92="",E92=""),"",ROUND(C92*E92,2))</x:f>
      </x:c>
      <x:c r="J92" s="108" t="str">
        <x:f>IF(I92="","",ROUND(I92+D92,2))</x:f>
      </x:c>
      <x:c r="K92" s="108" t="str">
        <x:f>IF(J92="","",MAX(ROUND(J92-H92,2),0))</x:f>
      </x:c>
      <x:c r="L92" s="108" t="str">
        <x:f>IF(A92="","",ROUND(E92*SETTINGS!$B$6,2))</x:f>
      </x:c>
      <x:c r="M92" s="108" t="str">
        <x:f>IF(A92="","",ROUND(K92*SETTINGS!$B$7,2))</x:f>
      </x:c>
      <x:c r="N92" s="108" t="str">
        <x:f>IF(A92="","",IF(K92&gt;0,ROUND(K92*SETTINGS!$B$8+SETTINGS!$B$9,2),0))</x:f>
      </x:c>
      <x:c r="O92" s="108" t="str">
        <x:f>IF(A92="","",IF(F92="Yes",ROUND(MIN(K92*SETTINGS!$B$13,SETTINGS!$B$14),2),0))</x:f>
      </x:c>
      <x:c r="P92" s="108" t="str">
        <x:f>IF(A92="","",ROUND(K92*SETTINGS!$B$15,2))</x:f>
      </x:c>
      <x:c r="Q92" s="108" t="str">
        <x:f>IF(A92="","",ROUND(SUM(L92:P92)+G92,2))</x:f>
      </x:c>
      <x:c r="R92" s="108" t="str">
        <x:f>IF(A92="","",ROUND(K92-Q92,2))</x:f>
      </x:c>
      <x:c r="S92" s="109" t="str">
        <x:f>IF(OR(A92="",K92=0),"",R92/K92)</x:f>
      </x:c>
      <x:c r="T92" s="110"/>
    </x:row>
    <x:row r="93" ht="23" customHeight="1">
      <x:c r="A93" s="105"/>
      <x:c r="B93" s="106"/>
      <x:c r="C93" s="107"/>
      <x:c r="D93" s="107"/>
      <x:c r="E93" s="106"/>
      <x:c r="F93" s="106"/>
      <x:c r="G93" s="107"/>
      <x:c r="H93" s="107"/>
      <x:c r="I93" s="108" t="str">
        <x:f>IF(OR(C93="",E93=""),"",ROUND(C93*E93,2))</x:f>
      </x:c>
      <x:c r="J93" s="108" t="str">
        <x:f>IF(I93="","",ROUND(I93+D93,2))</x:f>
      </x:c>
      <x:c r="K93" s="108" t="str">
        <x:f>IF(J93="","",MAX(ROUND(J93-H93,2),0))</x:f>
      </x:c>
      <x:c r="L93" s="108" t="str">
        <x:f>IF(A93="","",ROUND(E93*SETTINGS!$B$6,2))</x:f>
      </x:c>
      <x:c r="M93" s="108" t="str">
        <x:f>IF(A93="","",ROUND(K93*SETTINGS!$B$7,2))</x:f>
      </x:c>
      <x:c r="N93" s="108" t="str">
        <x:f>IF(A93="","",IF(K93&gt;0,ROUND(K93*SETTINGS!$B$8+SETTINGS!$B$9,2),0))</x:f>
      </x:c>
      <x:c r="O93" s="108" t="str">
        <x:f>IF(A93="","",IF(F93="Yes",ROUND(MIN(K93*SETTINGS!$B$13,SETTINGS!$B$14),2),0))</x:f>
      </x:c>
      <x:c r="P93" s="108" t="str">
        <x:f>IF(A93="","",ROUND(K93*SETTINGS!$B$15,2))</x:f>
      </x:c>
      <x:c r="Q93" s="108" t="str">
        <x:f>IF(A93="","",ROUND(SUM(L93:P93)+G93,2))</x:f>
      </x:c>
      <x:c r="R93" s="108" t="str">
        <x:f>IF(A93="","",ROUND(K93-Q93,2))</x:f>
      </x:c>
      <x:c r="S93" s="109" t="str">
        <x:f>IF(OR(A93="",K93=0),"",R93/K93)</x:f>
      </x:c>
      <x:c r="T93" s="110"/>
    </x:row>
    <x:row r="94" ht="23" customHeight="1">
      <x:c r="A94" s="105"/>
      <x:c r="B94" s="106"/>
      <x:c r="C94" s="107"/>
      <x:c r="D94" s="107"/>
      <x:c r="E94" s="106"/>
      <x:c r="F94" s="106"/>
      <x:c r="G94" s="107"/>
      <x:c r="H94" s="107"/>
      <x:c r="I94" s="108" t="str">
        <x:f>IF(OR(C94="",E94=""),"",ROUND(C94*E94,2))</x:f>
      </x:c>
      <x:c r="J94" s="108" t="str">
        <x:f>IF(I94="","",ROUND(I94+D94,2))</x:f>
      </x:c>
      <x:c r="K94" s="108" t="str">
        <x:f>IF(J94="","",MAX(ROUND(J94-H94,2),0))</x:f>
      </x:c>
      <x:c r="L94" s="108" t="str">
        <x:f>IF(A94="","",ROUND(E94*SETTINGS!$B$6,2))</x:f>
      </x:c>
      <x:c r="M94" s="108" t="str">
        <x:f>IF(A94="","",ROUND(K94*SETTINGS!$B$7,2))</x:f>
      </x:c>
      <x:c r="N94" s="108" t="str">
        <x:f>IF(A94="","",IF(K94&gt;0,ROUND(K94*SETTINGS!$B$8+SETTINGS!$B$9,2),0))</x:f>
      </x:c>
      <x:c r="O94" s="108" t="str">
        <x:f>IF(A94="","",IF(F94="Yes",ROUND(MIN(K94*SETTINGS!$B$13,SETTINGS!$B$14),2),0))</x:f>
      </x:c>
      <x:c r="P94" s="108" t="str">
        <x:f>IF(A94="","",ROUND(K94*SETTINGS!$B$15,2))</x:f>
      </x:c>
      <x:c r="Q94" s="108" t="str">
        <x:f>IF(A94="","",ROUND(SUM(L94:P94)+G94,2))</x:f>
      </x:c>
      <x:c r="R94" s="108" t="str">
        <x:f>IF(A94="","",ROUND(K94-Q94,2))</x:f>
      </x:c>
      <x:c r="S94" s="109" t="str">
        <x:f>IF(OR(A94="",K94=0),"",R94/K94)</x:f>
      </x:c>
      <x:c r="T94" s="110"/>
    </x:row>
    <x:row r="95" ht="23" customHeight="1">
      <x:c r="A95" s="105"/>
      <x:c r="B95" s="106"/>
      <x:c r="C95" s="107"/>
      <x:c r="D95" s="107"/>
      <x:c r="E95" s="106"/>
      <x:c r="F95" s="106"/>
      <x:c r="G95" s="107"/>
      <x:c r="H95" s="107"/>
      <x:c r="I95" s="108" t="str">
        <x:f>IF(OR(C95="",E95=""),"",ROUND(C95*E95,2))</x:f>
      </x:c>
      <x:c r="J95" s="108" t="str">
        <x:f>IF(I95="","",ROUND(I95+D95,2))</x:f>
      </x:c>
      <x:c r="K95" s="108" t="str">
        <x:f>IF(J95="","",MAX(ROUND(J95-H95,2),0))</x:f>
      </x:c>
      <x:c r="L95" s="108" t="str">
        <x:f>IF(A95="","",ROUND(E95*SETTINGS!$B$6,2))</x:f>
      </x:c>
      <x:c r="M95" s="108" t="str">
        <x:f>IF(A95="","",ROUND(K95*SETTINGS!$B$7,2))</x:f>
      </x:c>
      <x:c r="N95" s="108" t="str">
        <x:f>IF(A95="","",IF(K95&gt;0,ROUND(K95*SETTINGS!$B$8+SETTINGS!$B$9,2),0))</x:f>
      </x:c>
      <x:c r="O95" s="108" t="str">
        <x:f>IF(A95="","",IF(F95="Yes",ROUND(MIN(K95*SETTINGS!$B$13,SETTINGS!$B$14),2),0))</x:f>
      </x:c>
      <x:c r="P95" s="108" t="str">
        <x:f>IF(A95="","",ROUND(K95*SETTINGS!$B$15,2))</x:f>
      </x:c>
      <x:c r="Q95" s="108" t="str">
        <x:f>IF(A95="","",ROUND(SUM(L95:P95)+G95,2))</x:f>
      </x:c>
      <x:c r="R95" s="108" t="str">
        <x:f>IF(A95="","",ROUND(K95-Q95,2))</x:f>
      </x:c>
      <x:c r="S95" s="109" t="str">
        <x:f>IF(OR(A95="",K95=0),"",R95/K95)</x:f>
      </x:c>
      <x:c r="T95" s="110"/>
    </x:row>
    <x:row r="96" ht="23" customHeight="1">
      <x:c r="A96" s="105"/>
      <x:c r="B96" s="106"/>
      <x:c r="C96" s="107"/>
      <x:c r="D96" s="107"/>
      <x:c r="E96" s="106"/>
      <x:c r="F96" s="106"/>
      <x:c r="G96" s="107"/>
      <x:c r="H96" s="107"/>
      <x:c r="I96" s="108" t="str">
        <x:f>IF(OR(C96="",E96=""),"",ROUND(C96*E96,2))</x:f>
      </x:c>
      <x:c r="J96" s="108" t="str">
        <x:f>IF(I96="","",ROUND(I96+D96,2))</x:f>
      </x:c>
      <x:c r="K96" s="108" t="str">
        <x:f>IF(J96="","",MAX(ROUND(J96-H96,2),0))</x:f>
      </x:c>
      <x:c r="L96" s="108" t="str">
        <x:f>IF(A96="","",ROUND(E96*SETTINGS!$B$6,2))</x:f>
      </x:c>
      <x:c r="M96" s="108" t="str">
        <x:f>IF(A96="","",ROUND(K96*SETTINGS!$B$7,2))</x:f>
      </x:c>
      <x:c r="N96" s="108" t="str">
        <x:f>IF(A96="","",IF(K96&gt;0,ROUND(K96*SETTINGS!$B$8+SETTINGS!$B$9,2),0))</x:f>
      </x:c>
      <x:c r="O96" s="108" t="str">
        <x:f>IF(A96="","",IF(F96="Yes",ROUND(MIN(K96*SETTINGS!$B$13,SETTINGS!$B$14),2),0))</x:f>
      </x:c>
      <x:c r="P96" s="108" t="str">
        <x:f>IF(A96="","",ROUND(K96*SETTINGS!$B$15,2))</x:f>
      </x:c>
      <x:c r="Q96" s="108" t="str">
        <x:f>IF(A96="","",ROUND(SUM(L96:P96)+G96,2))</x:f>
      </x:c>
      <x:c r="R96" s="108" t="str">
        <x:f>IF(A96="","",ROUND(K96-Q96,2))</x:f>
      </x:c>
      <x:c r="S96" s="109" t="str">
        <x:f>IF(OR(A96="",K96=0),"",R96/K96)</x:f>
      </x:c>
      <x:c r="T96" s="110"/>
    </x:row>
    <x:row r="97" ht="23" customHeight="1">
      <x:c r="A97" s="105"/>
      <x:c r="B97" s="106"/>
      <x:c r="C97" s="107"/>
      <x:c r="D97" s="107"/>
      <x:c r="E97" s="106"/>
      <x:c r="F97" s="106"/>
      <x:c r="G97" s="107"/>
      <x:c r="H97" s="107"/>
      <x:c r="I97" s="108" t="str">
        <x:f>IF(OR(C97="",E97=""),"",ROUND(C97*E97,2))</x:f>
      </x:c>
      <x:c r="J97" s="108" t="str">
        <x:f>IF(I97="","",ROUND(I97+D97,2))</x:f>
      </x:c>
      <x:c r="K97" s="108" t="str">
        <x:f>IF(J97="","",MAX(ROUND(J97-H97,2),0))</x:f>
      </x:c>
      <x:c r="L97" s="108" t="str">
        <x:f>IF(A97="","",ROUND(E97*SETTINGS!$B$6,2))</x:f>
      </x:c>
      <x:c r="M97" s="108" t="str">
        <x:f>IF(A97="","",ROUND(K97*SETTINGS!$B$7,2))</x:f>
      </x:c>
      <x:c r="N97" s="108" t="str">
        <x:f>IF(A97="","",IF(K97&gt;0,ROUND(K97*SETTINGS!$B$8+SETTINGS!$B$9,2),0))</x:f>
      </x:c>
      <x:c r="O97" s="108" t="str">
        <x:f>IF(A97="","",IF(F97="Yes",ROUND(MIN(K97*SETTINGS!$B$13,SETTINGS!$B$14),2),0))</x:f>
      </x:c>
      <x:c r="P97" s="108" t="str">
        <x:f>IF(A97="","",ROUND(K97*SETTINGS!$B$15,2))</x:f>
      </x:c>
      <x:c r="Q97" s="108" t="str">
        <x:f>IF(A97="","",ROUND(SUM(L97:P97)+G97,2))</x:f>
      </x:c>
      <x:c r="R97" s="108" t="str">
        <x:f>IF(A97="","",ROUND(K97-Q97,2))</x:f>
      </x:c>
      <x:c r="S97" s="109" t="str">
        <x:f>IF(OR(A97="",K97=0),"",R97/K97)</x:f>
      </x:c>
      <x:c r="T97" s="110"/>
    </x:row>
    <x:row r="98" ht="23" customHeight="1">
      <x:c r="A98" s="105"/>
      <x:c r="B98" s="106"/>
      <x:c r="C98" s="107"/>
      <x:c r="D98" s="107"/>
      <x:c r="E98" s="106"/>
      <x:c r="F98" s="106"/>
      <x:c r="G98" s="107"/>
      <x:c r="H98" s="107"/>
      <x:c r="I98" s="108" t="str">
        <x:f>IF(OR(C98="",E98=""),"",ROUND(C98*E98,2))</x:f>
      </x:c>
      <x:c r="J98" s="108" t="str">
        <x:f>IF(I98="","",ROUND(I98+D98,2))</x:f>
      </x:c>
      <x:c r="K98" s="108" t="str">
        <x:f>IF(J98="","",MAX(ROUND(J98-H98,2),0))</x:f>
      </x:c>
      <x:c r="L98" s="108" t="str">
        <x:f>IF(A98="","",ROUND(E98*SETTINGS!$B$6,2))</x:f>
      </x:c>
      <x:c r="M98" s="108" t="str">
        <x:f>IF(A98="","",ROUND(K98*SETTINGS!$B$7,2))</x:f>
      </x:c>
      <x:c r="N98" s="108" t="str">
        <x:f>IF(A98="","",IF(K98&gt;0,ROUND(K98*SETTINGS!$B$8+SETTINGS!$B$9,2),0))</x:f>
      </x:c>
      <x:c r="O98" s="108" t="str">
        <x:f>IF(A98="","",IF(F98="Yes",ROUND(MIN(K98*SETTINGS!$B$13,SETTINGS!$B$14),2),0))</x:f>
      </x:c>
      <x:c r="P98" s="108" t="str">
        <x:f>IF(A98="","",ROUND(K98*SETTINGS!$B$15,2))</x:f>
      </x:c>
      <x:c r="Q98" s="108" t="str">
        <x:f>IF(A98="","",ROUND(SUM(L98:P98)+G98,2))</x:f>
      </x:c>
      <x:c r="R98" s="108" t="str">
        <x:f>IF(A98="","",ROUND(K98-Q98,2))</x:f>
      </x:c>
      <x:c r="S98" s="109" t="str">
        <x:f>IF(OR(A98="",K98=0),"",R98/K98)</x:f>
      </x:c>
      <x:c r="T98" s="110"/>
    </x:row>
    <x:row r="99" ht="23" customHeight="1">
      <x:c r="A99" s="105"/>
      <x:c r="B99" s="106"/>
      <x:c r="C99" s="107"/>
      <x:c r="D99" s="107"/>
      <x:c r="E99" s="106"/>
      <x:c r="F99" s="106"/>
      <x:c r="G99" s="107"/>
      <x:c r="H99" s="107"/>
      <x:c r="I99" s="108" t="str">
        <x:f>IF(OR(C99="",E99=""),"",ROUND(C99*E99,2))</x:f>
      </x:c>
      <x:c r="J99" s="108" t="str">
        <x:f>IF(I99="","",ROUND(I99+D99,2))</x:f>
      </x:c>
      <x:c r="K99" s="108" t="str">
        <x:f>IF(J99="","",MAX(ROUND(J99-H99,2),0))</x:f>
      </x:c>
      <x:c r="L99" s="108" t="str">
        <x:f>IF(A99="","",ROUND(E99*SETTINGS!$B$6,2))</x:f>
      </x:c>
      <x:c r="M99" s="108" t="str">
        <x:f>IF(A99="","",ROUND(K99*SETTINGS!$B$7,2))</x:f>
      </x:c>
      <x:c r="N99" s="108" t="str">
        <x:f>IF(A99="","",IF(K99&gt;0,ROUND(K99*SETTINGS!$B$8+SETTINGS!$B$9,2),0))</x:f>
      </x:c>
      <x:c r="O99" s="108" t="str">
        <x:f>IF(A99="","",IF(F99="Yes",ROUND(MIN(K99*SETTINGS!$B$13,SETTINGS!$B$14),2),0))</x:f>
      </x:c>
      <x:c r="P99" s="108" t="str">
        <x:f>IF(A99="","",ROUND(K99*SETTINGS!$B$15,2))</x:f>
      </x:c>
      <x:c r="Q99" s="108" t="str">
        <x:f>IF(A99="","",ROUND(SUM(L99:P99)+G99,2))</x:f>
      </x:c>
      <x:c r="R99" s="108" t="str">
        <x:f>IF(A99="","",ROUND(K99-Q99,2))</x:f>
      </x:c>
      <x:c r="S99" s="109" t="str">
        <x:f>IF(OR(A99="",K99=0),"",R99/K99)</x:f>
      </x:c>
      <x:c r="T99" s="110"/>
    </x:row>
    <x:row r="100" ht="23" customHeight="1">
      <x:c r="A100" s="105"/>
      <x:c r="B100" s="106"/>
      <x:c r="C100" s="107"/>
      <x:c r="D100" s="107"/>
      <x:c r="E100" s="106"/>
      <x:c r="F100" s="106"/>
      <x:c r="G100" s="107"/>
      <x:c r="H100" s="107"/>
      <x:c r="I100" s="108" t="str">
        <x:f>IF(OR(C100="",E100=""),"",ROUND(C100*E100,2))</x:f>
      </x:c>
      <x:c r="J100" s="108" t="str">
        <x:f>IF(I100="","",ROUND(I100+D100,2))</x:f>
      </x:c>
      <x:c r="K100" s="108" t="str">
        <x:f>IF(J100="","",MAX(ROUND(J100-H100,2),0))</x:f>
      </x:c>
      <x:c r="L100" s="108" t="str">
        <x:f>IF(A100="","",ROUND(E100*SETTINGS!$B$6,2))</x:f>
      </x:c>
      <x:c r="M100" s="108" t="str">
        <x:f>IF(A100="","",ROUND(K100*SETTINGS!$B$7,2))</x:f>
      </x:c>
      <x:c r="N100" s="108" t="str">
        <x:f>IF(A100="","",IF(K100&gt;0,ROUND(K100*SETTINGS!$B$8+SETTINGS!$B$9,2),0))</x:f>
      </x:c>
      <x:c r="O100" s="108" t="str">
        <x:f>IF(A100="","",IF(F100="Yes",ROUND(MIN(K100*SETTINGS!$B$13,SETTINGS!$B$14),2),0))</x:f>
      </x:c>
      <x:c r="P100" s="108" t="str">
        <x:f>IF(A100="","",ROUND(K100*SETTINGS!$B$15,2))</x:f>
      </x:c>
      <x:c r="Q100" s="108" t="str">
        <x:f>IF(A100="","",ROUND(SUM(L100:P100)+G100,2))</x:f>
      </x:c>
      <x:c r="R100" s="108" t="str">
        <x:f>IF(A100="","",ROUND(K100-Q100,2))</x:f>
      </x:c>
      <x:c r="S100" s="109" t="str">
        <x:f>IF(OR(A100="",K100=0),"",R100/K100)</x:f>
      </x:c>
      <x:c r="T100" s="110"/>
    </x:row>
    <x:row r="101" ht="23" customHeight="1">
      <x:c r="A101" s="105"/>
      <x:c r="B101" s="106"/>
      <x:c r="C101" s="107"/>
      <x:c r="D101" s="107"/>
      <x:c r="E101" s="106"/>
      <x:c r="F101" s="106"/>
      <x:c r="G101" s="107"/>
      <x:c r="H101" s="107"/>
      <x:c r="I101" s="108" t="str">
        <x:f>IF(OR(C101="",E101=""),"",ROUND(C101*E101,2))</x:f>
      </x:c>
      <x:c r="J101" s="108" t="str">
        <x:f>IF(I101="","",ROUND(I101+D101,2))</x:f>
      </x:c>
      <x:c r="K101" s="108" t="str">
        <x:f>IF(J101="","",MAX(ROUND(J101-H101,2),0))</x:f>
      </x:c>
      <x:c r="L101" s="108" t="str">
        <x:f>IF(A101="","",ROUND(E101*SETTINGS!$B$6,2))</x:f>
      </x:c>
      <x:c r="M101" s="108" t="str">
        <x:f>IF(A101="","",ROUND(K101*SETTINGS!$B$7,2))</x:f>
      </x:c>
      <x:c r="N101" s="108" t="str">
        <x:f>IF(A101="","",IF(K101&gt;0,ROUND(K101*SETTINGS!$B$8+SETTINGS!$B$9,2),0))</x:f>
      </x:c>
      <x:c r="O101" s="108" t="str">
        <x:f>IF(A101="","",IF(F101="Yes",ROUND(MIN(K101*SETTINGS!$B$13,SETTINGS!$B$14),2),0))</x:f>
      </x:c>
      <x:c r="P101" s="108" t="str">
        <x:f>IF(A101="","",ROUND(K101*SETTINGS!$B$15,2))</x:f>
      </x:c>
      <x:c r="Q101" s="108" t="str">
        <x:f>IF(A101="","",ROUND(SUM(L101:P101)+G101,2))</x:f>
      </x:c>
      <x:c r="R101" s="108" t="str">
        <x:f>IF(A101="","",ROUND(K101-Q101,2))</x:f>
      </x:c>
      <x:c r="S101" s="109" t="str">
        <x:f>IF(OR(A101="",K101=0),"",R101/K101)</x:f>
      </x:c>
      <x:c r="T101" s="110"/>
    </x:row>
    <x:row r="102" ht="23" customHeight="1">
      <x:c r="A102" s="105"/>
      <x:c r="B102" s="106"/>
      <x:c r="C102" s="107"/>
      <x:c r="D102" s="107"/>
      <x:c r="E102" s="106"/>
      <x:c r="F102" s="106"/>
      <x:c r="G102" s="107"/>
      <x:c r="H102" s="107"/>
      <x:c r="I102" s="108" t="str">
        <x:f>IF(OR(C102="",E102=""),"",ROUND(C102*E102,2))</x:f>
      </x:c>
      <x:c r="J102" s="108" t="str">
        <x:f>IF(I102="","",ROUND(I102+D102,2))</x:f>
      </x:c>
      <x:c r="K102" s="108" t="str">
        <x:f>IF(J102="","",MAX(ROUND(J102-H102,2),0))</x:f>
      </x:c>
      <x:c r="L102" s="108" t="str">
        <x:f>IF(A102="","",ROUND(E102*SETTINGS!$B$6,2))</x:f>
      </x:c>
      <x:c r="M102" s="108" t="str">
        <x:f>IF(A102="","",ROUND(K102*SETTINGS!$B$7,2))</x:f>
      </x:c>
      <x:c r="N102" s="108" t="str">
        <x:f>IF(A102="","",IF(K102&gt;0,ROUND(K102*SETTINGS!$B$8+SETTINGS!$B$9,2),0))</x:f>
      </x:c>
      <x:c r="O102" s="108" t="str">
        <x:f>IF(A102="","",IF(F102="Yes",ROUND(MIN(K102*SETTINGS!$B$13,SETTINGS!$B$14),2),0))</x:f>
      </x:c>
      <x:c r="P102" s="108" t="str">
        <x:f>IF(A102="","",ROUND(K102*SETTINGS!$B$15,2))</x:f>
      </x:c>
      <x:c r="Q102" s="108" t="str">
        <x:f>IF(A102="","",ROUND(SUM(L102:P102)+G102,2))</x:f>
      </x:c>
      <x:c r="R102" s="108" t="str">
        <x:f>IF(A102="","",ROUND(K102-Q102,2))</x:f>
      </x:c>
      <x:c r="S102" s="109" t="str">
        <x:f>IF(OR(A102="",K102=0),"",R102/K102)</x:f>
      </x:c>
      <x:c r="T102" s="110"/>
    </x:row>
    <x:row r="103" ht="23" customHeight="1">
      <x:c r="A103" s="105"/>
      <x:c r="B103" s="106"/>
      <x:c r="C103" s="107"/>
      <x:c r="D103" s="107"/>
      <x:c r="E103" s="106"/>
      <x:c r="F103" s="106"/>
      <x:c r="G103" s="107"/>
      <x:c r="H103" s="107"/>
      <x:c r="I103" s="108" t="str">
        <x:f>IF(OR(C103="",E103=""),"",ROUND(C103*E103,2))</x:f>
      </x:c>
      <x:c r="J103" s="108" t="str">
        <x:f>IF(I103="","",ROUND(I103+D103,2))</x:f>
      </x:c>
      <x:c r="K103" s="108" t="str">
        <x:f>IF(J103="","",MAX(ROUND(J103-H103,2),0))</x:f>
      </x:c>
      <x:c r="L103" s="108" t="str">
        <x:f>IF(A103="","",ROUND(E103*SETTINGS!$B$6,2))</x:f>
      </x:c>
      <x:c r="M103" s="108" t="str">
        <x:f>IF(A103="","",ROUND(K103*SETTINGS!$B$7,2))</x:f>
      </x:c>
      <x:c r="N103" s="108" t="str">
        <x:f>IF(A103="","",IF(K103&gt;0,ROUND(K103*SETTINGS!$B$8+SETTINGS!$B$9,2),0))</x:f>
      </x:c>
      <x:c r="O103" s="108" t="str">
        <x:f>IF(A103="","",IF(F103="Yes",ROUND(MIN(K103*SETTINGS!$B$13,SETTINGS!$B$14),2),0))</x:f>
      </x:c>
      <x:c r="P103" s="108" t="str">
        <x:f>IF(A103="","",ROUND(K103*SETTINGS!$B$15,2))</x:f>
      </x:c>
      <x:c r="Q103" s="108" t="str">
        <x:f>IF(A103="","",ROUND(SUM(L103:P103)+G103,2))</x:f>
      </x:c>
      <x:c r="R103" s="108" t="str">
        <x:f>IF(A103="","",ROUND(K103-Q103,2))</x:f>
      </x:c>
      <x:c r="S103" s="109" t="str">
        <x:f>IF(OR(A103="",K103=0),"",R103/K103)</x:f>
      </x:c>
      <x:c r="T103" s="110"/>
    </x:row>
    <x:row r="104" ht="23" customHeight="1">
      <x:c r="A104" s="105"/>
      <x:c r="B104" s="106"/>
      <x:c r="C104" s="107"/>
      <x:c r="D104" s="107"/>
      <x:c r="E104" s="106"/>
      <x:c r="F104" s="106"/>
      <x:c r="G104" s="107"/>
      <x:c r="H104" s="107"/>
      <x:c r="I104" s="108" t="str">
        <x:f>IF(OR(C104="",E104=""),"",ROUND(C104*E104,2))</x:f>
      </x:c>
      <x:c r="J104" s="108" t="str">
        <x:f>IF(I104="","",ROUND(I104+D104,2))</x:f>
      </x:c>
      <x:c r="K104" s="108" t="str">
        <x:f>IF(J104="","",MAX(ROUND(J104-H104,2),0))</x:f>
      </x:c>
      <x:c r="L104" s="108" t="str">
        <x:f>IF(A104="","",ROUND(E104*SETTINGS!$B$6,2))</x:f>
      </x:c>
      <x:c r="M104" s="108" t="str">
        <x:f>IF(A104="","",ROUND(K104*SETTINGS!$B$7,2))</x:f>
      </x:c>
      <x:c r="N104" s="108" t="str">
        <x:f>IF(A104="","",IF(K104&gt;0,ROUND(K104*SETTINGS!$B$8+SETTINGS!$B$9,2),0))</x:f>
      </x:c>
      <x:c r="O104" s="108" t="str">
        <x:f>IF(A104="","",IF(F104="Yes",ROUND(MIN(K104*SETTINGS!$B$13,SETTINGS!$B$14),2),0))</x:f>
      </x:c>
      <x:c r="P104" s="108" t="str">
        <x:f>IF(A104="","",ROUND(K104*SETTINGS!$B$15,2))</x:f>
      </x:c>
      <x:c r="Q104" s="108" t="str">
        <x:f>IF(A104="","",ROUND(SUM(L104:P104)+G104,2))</x:f>
      </x:c>
      <x:c r="R104" s="108" t="str">
        <x:f>IF(A104="","",ROUND(K104-Q104,2))</x:f>
      </x:c>
      <x:c r="S104" s="109" t="str">
        <x:f>IF(OR(A104="",K104=0),"",R104/K104)</x:f>
      </x:c>
      <x:c r="T104" s="110"/>
    </x:row>
    <x:row r="105" ht="23" customHeight="1">
      <x:c r="A105" s="105"/>
      <x:c r="B105" s="106"/>
      <x:c r="C105" s="107"/>
      <x:c r="D105" s="107"/>
      <x:c r="E105" s="106"/>
      <x:c r="F105" s="106"/>
      <x:c r="G105" s="107"/>
      <x:c r="H105" s="107"/>
      <x:c r="I105" s="108" t="str">
        <x:f>IF(OR(C105="",E105=""),"",ROUND(C105*E105,2))</x:f>
      </x:c>
      <x:c r="J105" s="108" t="str">
        <x:f>IF(I105="","",ROUND(I105+D105,2))</x:f>
      </x:c>
      <x:c r="K105" s="108" t="str">
        <x:f>IF(J105="","",MAX(ROUND(J105-H105,2),0))</x:f>
      </x:c>
      <x:c r="L105" s="108" t="str">
        <x:f>IF(A105="","",ROUND(E105*SETTINGS!$B$6,2))</x:f>
      </x:c>
      <x:c r="M105" s="108" t="str">
        <x:f>IF(A105="","",ROUND(K105*SETTINGS!$B$7,2))</x:f>
      </x:c>
      <x:c r="N105" s="108" t="str">
        <x:f>IF(A105="","",IF(K105&gt;0,ROUND(K105*SETTINGS!$B$8+SETTINGS!$B$9,2),0))</x:f>
      </x:c>
      <x:c r="O105" s="108" t="str">
        <x:f>IF(A105="","",IF(F105="Yes",ROUND(MIN(K105*SETTINGS!$B$13,SETTINGS!$B$14),2),0))</x:f>
      </x:c>
      <x:c r="P105" s="108" t="str">
        <x:f>IF(A105="","",ROUND(K105*SETTINGS!$B$15,2))</x:f>
      </x:c>
      <x:c r="Q105" s="108" t="str">
        <x:f>IF(A105="","",ROUND(SUM(L105:P105)+G105,2))</x:f>
      </x:c>
      <x:c r="R105" s="108" t="str">
        <x:f>IF(A105="","",ROUND(K105-Q105,2))</x:f>
      </x:c>
      <x:c r="S105" s="109" t="str">
        <x:f>IF(OR(A105="",K105=0),"",R105/K105)</x:f>
      </x:c>
      <x:c r="T105" s="110"/>
    </x:row>
    <x:row r="106" ht="23" customHeight="1">
      <x:c r="A106" s="105"/>
      <x:c r="B106" s="106"/>
      <x:c r="C106" s="107"/>
      <x:c r="D106" s="107"/>
      <x:c r="E106" s="106"/>
      <x:c r="F106" s="106"/>
      <x:c r="G106" s="107"/>
      <x:c r="H106" s="107"/>
      <x:c r="I106" s="108" t="str">
        <x:f>IF(OR(C106="",E106=""),"",ROUND(C106*E106,2))</x:f>
      </x:c>
      <x:c r="J106" s="108" t="str">
        <x:f>IF(I106="","",ROUND(I106+D106,2))</x:f>
      </x:c>
      <x:c r="K106" s="108" t="str">
        <x:f>IF(J106="","",MAX(ROUND(J106-H106,2),0))</x:f>
      </x:c>
      <x:c r="L106" s="108" t="str">
        <x:f>IF(A106="","",ROUND(E106*SETTINGS!$B$6,2))</x:f>
      </x:c>
      <x:c r="M106" s="108" t="str">
        <x:f>IF(A106="","",ROUND(K106*SETTINGS!$B$7,2))</x:f>
      </x:c>
      <x:c r="N106" s="108" t="str">
        <x:f>IF(A106="","",IF(K106&gt;0,ROUND(K106*SETTINGS!$B$8+SETTINGS!$B$9,2),0))</x:f>
      </x:c>
      <x:c r="O106" s="108" t="str">
        <x:f>IF(A106="","",IF(F106="Yes",ROUND(MIN(K106*SETTINGS!$B$13,SETTINGS!$B$14),2),0))</x:f>
      </x:c>
      <x:c r="P106" s="108" t="str">
        <x:f>IF(A106="","",ROUND(K106*SETTINGS!$B$15,2))</x:f>
      </x:c>
      <x:c r="Q106" s="108" t="str">
        <x:f>IF(A106="","",ROUND(SUM(L106:P106)+G106,2))</x:f>
      </x:c>
      <x:c r="R106" s="108" t="str">
        <x:f>IF(A106="","",ROUND(K106-Q106,2))</x:f>
      </x:c>
      <x:c r="S106" s="109" t="str">
        <x:f>IF(OR(A106="",K106=0),"",R106/K106)</x:f>
      </x:c>
      <x:c r="T106" s="110"/>
    </x:row>
    <x:row r="107" ht="23" customHeight="1">
      <x:c r="A107" s="105"/>
      <x:c r="B107" s="106"/>
      <x:c r="C107" s="107"/>
      <x:c r="D107" s="107"/>
      <x:c r="E107" s="106"/>
      <x:c r="F107" s="106"/>
      <x:c r="G107" s="107"/>
      <x:c r="H107" s="107"/>
      <x:c r="I107" s="108" t="str">
        <x:f>IF(OR(C107="",E107=""),"",ROUND(C107*E107,2))</x:f>
      </x:c>
      <x:c r="J107" s="108" t="str">
        <x:f>IF(I107="","",ROUND(I107+D107,2))</x:f>
      </x:c>
      <x:c r="K107" s="108" t="str">
        <x:f>IF(J107="","",MAX(ROUND(J107-H107,2),0))</x:f>
      </x:c>
      <x:c r="L107" s="108" t="str">
        <x:f>IF(A107="","",ROUND(E107*SETTINGS!$B$6,2))</x:f>
      </x:c>
      <x:c r="M107" s="108" t="str">
        <x:f>IF(A107="","",ROUND(K107*SETTINGS!$B$7,2))</x:f>
      </x:c>
      <x:c r="N107" s="108" t="str">
        <x:f>IF(A107="","",IF(K107&gt;0,ROUND(K107*SETTINGS!$B$8+SETTINGS!$B$9,2),0))</x:f>
      </x:c>
      <x:c r="O107" s="108" t="str">
        <x:f>IF(A107="","",IF(F107="Yes",ROUND(MIN(K107*SETTINGS!$B$13,SETTINGS!$B$14),2),0))</x:f>
      </x:c>
      <x:c r="P107" s="108" t="str">
        <x:f>IF(A107="","",ROUND(K107*SETTINGS!$B$15,2))</x:f>
      </x:c>
      <x:c r="Q107" s="108" t="str">
        <x:f>IF(A107="","",ROUND(SUM(L107:P107)+G107,2))</x:f>
      </x:c>
      <x:c r="R107" s="108" t="str">
        <x:f>IF(A107="","",ROUND(K107-Q107,2))</x:f>
      </x:c>
      <x:c r="S107" s="109" t="str">
        <x:f>IF(OR(A107="",K107=0),"",R107/K107)</x:f>
      </x:c>
      <x:c r="T107" s="110"/>
    </x:row>
    <x:row r="108" ht="23" customHeight="1">
      <x:c r="A108" s="105"/>
      <x:c r="B108" s="106"/>
      <x:c r="C108" s="107"/>
      <x:c r="D108" s="107"/>
      <x:c r="E108" s="106"/>
      <x:c r="F108" s="106"/>
      <x:c r="G108" s="107"/>
      <x:c r="H108" s="107"/>
      <x:c r="I108" s="108" t="str">
        <x:f>IF(OR(C108="",E108=""),"",ROUND(C108*E108,2))</x:f>
      </x:c>
      <x:c r="J108" s="108" t="str">
        <x:f>IF(I108="","",ROUND(I108+D108,2))</x:f>
      </x:c>
      <x:c r="K108" s="108" t="str">
        <x:f>IF(J108="","",MAX(ROUND(J108-H108,2),0))</x:f>
      </x:c>
      <x:c r="L108" s="108" t="str">
        <x:f>IF(A108="","",ROUND(E108*SETTINGS!$B$6,2))</x:f>
      </x:c>
      <x:c r="M108" s="108" t="str">
        <x:f>IF(A108="","",ROUND(K108*SETTINGS!$B$7,2))</x:f>
      </x:c>
      <x:c r="N108" s="108" t="str">
        <x:f>IF(A108="","",IF(K108&gt;0,ROUND(K108*SETTINGS!$B$8+SETTINGS!$B$9,2),0))</x:f>
      </x:c>
      <x:c r="O108" s="108" t="str">
        <x:f>IF(A108="","",IF(F108="Yes",ROUND(MIN(K108*SETTINGS!$B$13,SETTINGS!$B$14),2),0))</x:f>
      </x:c>
      <x:c r="P108" s="108" t="str">
        <x:f>IF(A108="","",ROUND(K108*SETTINGS!$B$15,2))</x:f>
      </x:c>
      <x:c r="Q108" s="108" t="str">
        <x:f>IF(A108="","",ROUND(SUM(L108:P108)+G108,2))</x:f>
      </x:c>
      <x:c r="R108" s="108" t="str">
        <x:f>IF(A108="","",ROUND(K108-Q108,2))</x:f>
      </x:c>
      <x:c r="S108" s="109" t="str">
        <x:f>IF(OR(A108="",K108=0),"",R108/K108)</x:f>
      </x:c>
      <x:c r="T108" s="110"/>
    </x:row>
    <x:row r="109" ht="23" customHeight="1">
      <x:c r="A109" s="105"/>
      <x:c r="B109" s="106"/>
      <x:c r="C109" s="107"/>
      <x:c r="D109" s="107"/>
      <x:c r="E109" s="106"/>
      <x:c r="F109" s="106"/>
      <x:c r="G109" s="107"/>
      <x:c r="H109" s="107"/>
      <x:c r="I109" s="108" t="str">
        <x:f>IF(OR(C109="",E109=""),"",ROUND(C109*E109,2))</x:f>
      </x:c>
      <x:c r="J109" s="108" t="str">
        <x:f>IF(I109="","",ROUND(I109+D109,2))</x:f>
      </x:c>
      <x:c r="K109" s="108" t="str">
        <x:f>IF(J109="","",MAX(ROUND(J109-H109,2),0))</x:f>
      </x:c>
      <x:c r="L109" s="108" t="str">
        <x:f>IF(A109="","",ROUND(E109*SETTINGS!$B$6,2))</x:f>
      </x:c>
      <x:c r="M109" s="108" t="str">
        <x:f>IF(A109="","",ROUND(K109*SETTINGS!$B$7,2))</x:f>
      </x:c>
      <x:c r="N109" s="108" t="str">
        <x:f>IF(A109="","",IF(K109&gt;0,ROUND(K109*SETTINGS!$B$8+SETTINGS!$B$9,2),0))</x:f>
      </x:c>
      <x:c r="O109" s="108" t="str">
        <x:f>IF(A109="","",IF(F109="Yes",ROUND(MIN(K109*SETTINGS!$B$13,SETTINGS!$B$14),2),0))</x:f>
      </x:c>
      <x:c r="P109" s="108" t="str">
        <x:f>IF(A109="","",ROUND(K109*SETTINGS!$B$15,2))</x:f>
      </x:c>
      <x:c r="Q109" s="108" t="str">
        <x:f>IF(A109="","",ROUND(SUM(L109:P109)+G109,2))</x:f>
      </x:c>
      <x:c r="R109" s="108" t="str">
        <x:f>IF(A109="","",ROUND(K109-Q109,2))</x:f>
      </x:c>
      <x:c r="S109" s="109" t="str">
        <x:f>IF(OR(A109="",K109=0),"",R109/K109)</x:f>
      </x:c>
      <x:c r="T109" s="110"/>
    </x:row>
    <x:row r="110" ht="23" customHeight="1">
      <x:c r="A110" s="105"/>
      <x:c r="B110" s="106"/>
      <x:c r="C110" s="107"/>
      <x:c r="D110" s="107"/>
      <x:c r="E110" s="106"/>
      <x:c r="F110" s="106"/>
      <x:c r="G110" s="107"/>
      <x:c r="H110" s="107"/>
      <x:c r="I110" s="108" t="str">
        <x:f>IF(OR(C110="",E110=""),"",ROUND(C110*E110,2))</x:f>
      </x:c>
      <x:c r="J110" s="108" t="str">
        <x:f>IF(I110="","",ROUND(I110+D110,2))</x:f>
      </x:c>
      <x:c r="K110" s="108" t="str">
        <x:f>IF(J110="","",MAX(ROUND(J110-H110,2),0))</x:f>
      </x:c>
      <x:c r="L110" s="108" t="str">
        <x:f>IF(A110="","",ROUND(E110*SETTINGS!$B$6,2))</x:f>
      </x:c>
      <x:c r="M110" s="108" t="str">
        <x:f>IF(A110="","",ROUND(K110*SETTINGS!$B$7,2))</x:f>
      </x:c>
      <x:c r="N110" s="108" t="str">
        <x:f>IF(A110="","",IF(K110&gt;0,ROUND(K110*SETTINGS!$B$8+SETTINGS!$B$9,2),0))</x:f>
      </x:c>
      <x:c r="O110" s="108" t="str">
        <x:f>IF(A110="","",IF(F110="Yes",ROUND(MIN(K110*SETTINGS!$B$13,SETTINGS!$B$14),2),0))</x:f>
      </x:c>
      <x:c r="P110" s="108" t="str">
        <x:f>IF(A110="","",ROUND(K110*SETTINGS!$B$15,2))</x:f>
      </x:c>
      <x:c r="Q110" s="108" t="str">
        <x:f>IF(A110="","",ROUND(SUM(L110:P110)+G110,2))</x:f>
      </x:c>
      <x:c r="R110" s="108" t="str">
        <x:f>IF(A110="","",ROUND(K110-Q110,2))</x:f>
      </x:c>
      <x:c r="S110" s="109" t="str">
        <x:f>IF(OR(A110="",K110=0),"",R110/K110)</x:f>
      </x:c>
      <x:c r="T110" s="110"/>
    </x:row>
    <x:row r="111" ht="23" customHeight="1">
      <x:c r="A111" s="105"/>
      <x:c r="B111" s="106"/>
      <x:c r="C111" s="107"/>
      <x:c r="D111" s="107"/>
      <x:c r="E111" s="106"/>
      <x:c r="F111" s="106"/>
      <x:c r="G111" s="107"/>
      <x:c r="H111" s="107"/>
      <x:c r="I111" s="108" t="str">
        <x:f>IF(OR(C111="",E111=""),"",ROUND(C111*E111,2))</x:f>
      </x:c>
      <x:c r="J111" s="108" t="str">
        <x:f>IF(I111="","",ROUND(I111+D111,2))</x:f>
      </x:c>
      <x:c r="K111" s="108" t="str">
        <x:f>IF(J111="","",MAX(ROUND(J111-H111,2),0))</x:f>
      </x:c>
      <x:c r="L111" s="108" t="str">
        <x:f>IF(A111="","",ROUND(E111*SETTINGS!$B$6,2))</x:f>
      </x:c>
      <x:c r="M111" s="108" t="str">
        <x:f>IF(A111="","",ROUND(K111*SETTINGS!$B$7,2))</x:f>
      </x:c>
      <x:c r="N111" s="108" t="str">
        <x:f>IF(A111="","",IF(K111&gt;0,ROUND(K111*SETTINGS!$B$8+SETTINGS!$B$9,2),0))</x:f>
      </x:c>
      <x:c r="O111" s="108" t="str">
        <x:f>IF(A111="","",IF(F111="Yes",ROUND(MIN(K111*SETTINGS!$B$13,SETTINGS!$B$14),2),0))</x:f>
      </x:c>
      <x:c r="P111" s="108" t="str">
        <x:f>IF(A111="","",ROUND(K111*SETTINGS!$B$15,2))</x:f>
      </x:c>
      <x:c r="Q111" s="108" t="str">
        <x:f>IF(A111="","",ROUND(SUM(L111:P111)+G111,2))</x:f>
      </x:c>
      <x:c r="R111" s="108" t="str">
        <x:f>IF(A111="","",ROUND(K111-Q111,2))</x:f>
      </x:c>
      <x:c r="S111" s="109" t="str">
        <x:f>IF(OR(A111="",K111=0),"",R111/K111)</x:f>
      </x:c>
      <x:c r="T111" s="110"/>
    </x:row>
    <x:row r="112" ht="23" customHeight="1">
      <x:c r="A112" s="105"/>
      <x:c r="B112" s="106"/>
      <x:c r="C112" s="107"/>
      <x:c r="D112" s="107"/>
      <x:c r="E112" s="106"/>
      <x:c r="F112" s="106"/>
      <x:c r="G112" s="107"/>
      <x:c r="H112" s="107"/>
      <x:c r="I112" s="108" t="str">
        <x:f>IF(OR(C112="",E112=""),"",ROUND(C112*E112,2))</x:f>
      </x:c>
      <x:c r="J112" s="108" t="str">
        <x:f>IF(I112="","",ROUND(I112+D112,2))</x:f>
      </x:c>
      <x:c r="K112" s="108" t="str">
        <x:f>IF(J112="","",MAX(ROUND(J112-H112,2),0))</x:f>
      </x:c>
      <x:c r="L112" s="108" t="str">
        <x:f>IF(A112="","",ROUND(E112*SETTINGS!$B$6,2))</x:f>
      </x:c>
      <x:c r="M112" s="108" t="str">
        <x:f>IF(A112="","",ROUND(K112*SETTINGS!$B$7,2))</x:f>
      </x:c>
      <x:c r="N112" s="108" t="str">
        <x:f>IF(A112="","",IF(K112&gt;0,ROUND(K112*SETTINGS!$B$8+SETTINGS!$B$9,2),0))</x:f>
      </x:c>
      <x:c r="O112" s="108" t="str">
        <x:f>IF(A112="","",IF(F112="Yes",ROUND(MIN(K112*SETTINGS!$B$13,SETTINGS!$B$14),2),0))</x:f>
      </x:c>
      <x:c r="P112" s="108" t="str">
        <x:f>IF(A112="","",ROUND(K112*SETTINGS!$B$15,2))</x:f>
      </x:c>
      <x:c r="Q112" s="108" t="str">
        <x:f>IF(A112="","",ROUND(SUM(L112:P112)+G112,2))</x:f>
      </x:c>
      <x:c r="R112" s="108" t="str">
        <x:f>IF(A112="","",ROUND(K112-Q112,2))</x:f>
      </x:c>
      <x:c r="S112" s="109" t="str">
        <x:f>IF(OR(A112="",K112=0),"",R112/K112)</x:f>
      </x:c>
      <x:c r="T112" s="110"/>
    </x:row>
    <x:row r="113" ht="23" customHeight="1">
      <x:c r="A113" s="105"/>
      <x:c r="B113" s="106"/>
      <x:c r="C113" s="107"/>
      <x:c r="D113" s="107"/>
      <x:c r="E113" s="106"/>
      <x:c r="F113" s="106"/>
      <x:c r="G113" s="107"/>
      <x:c r="H113" s="107"/>
      <x:c r="I113" s="108" t="str">
        <x:f>IF(OR(C113="",E113=""),"",ROUND(C113*E113,2))</x:f>
      </x:c>
      <x:c r="J113" s="108" t="str">
        <x:f>IF(I113="","",ROUND(I113+D113,2))</x:f>
      </x:c>
      <x:c r="K113" s="108" t="str">
        <x:f>IF(J113="","",MAX(ROUND(J113-H113,2),0))</x:f>
      </x:c>
      <x:c r="L113" s="108" t="str">
        <x:f>IF(A113="","",ROUND(E113*SETTINGS!$B$6,2))</x:f>
      </x:c>
      <x:c r="M113" s="108" t="str">
        <x:f>IF(A113="","",ROUND(K113*SETTINGS!$B$7,2))</x:f>
      </x:c>
      <x:c r="N113" s="108" t="str">
        <x:f>IF(A113="","",IF(K113&gt;0,ROUND(K113*SETTINGS!$B$8+SETTINGS!$B$9,2),0))</x:f>
      </x:c>
      <x:c r="O113" s="108" t="str">
        <x:f>IF(A113="","",IF(F113="Yes",ROUND(MIN(K113*SETTINGS!$B$13,SETTINGS!$B$14),2),0))</x:f>
      </x:c>
      <x:c r="P113" s="108" t="str">
        <x:f>IF(A113="","",ROUND(K113*SETTINGS!$B$15,2))</x:f>
      </x:c>
      <x:c r="Q113" s="108" t="str">
        <x:f>IF(A113="","",ROUND(SUM(L113:P113)+G113,2))</x:f>
      </x:c>
      <x:c r="R113" s="108" t="str">
        <x:f>IF(A113="","",ROUND(K113-Q113,2))</x:f>
      </x:c>
      <x:c r="S113" s="109" t="str">
        <x:f>IF(OR(A113="",K113=0),"",R113/K113)</x:f>
      </x:c>
      <x:c r="T113" s="110"/>
    </x:row>
    <x:row r="114" ht="23" customHeight="1">
      <x:c r="A114" s="105"/>
      <x:c r="B114" s="106"/>
      <x:c r="C114" s="107"/>
      <x:c r="D114" s="107"/>
      <x:c r="E114" s="106"/>
      <x:c r="F114" s="106"/>
      <x:c r="G114" s="107"/>
      <x:c r="H114" s="107"/>
      <x:c r="I114" s="108" t="str">
        <x:f>IF(OR(C114="",E114=""),"",ROUND(C114*E114,2))</x:f>
      </x:c>
      <x:c r="J114" s="108" t="str">
        <x:f>IF(I114="","",ROUND(I114+D114,2))</x:f>
      </x:c>
      <x:c r="K114" s="108" t="str">
        <x:f>IF(J114="","",MAX(ROUND(J114-H114,2),0))</x:f>
      </x:c>
      <x:c r="L114" s="108" t="str">
        <x:f>IF(A114="","",ROUND(E114*SETTINGS!$B$6,2))</x:f>
      </x:c>
      <x:c r="M114" s="108" t="str">
        <x:f>IF(A114="","",ROUND(K114*SETTINGS!$B$7,2))</x:f>
      </x:c>
      <x:c r="N114" s="108" t="str">
        <x:f>IF(A114="","",IF(K114&gt;0,ROUND(K114*SETTINGS!$B$8+SETTINGS!$B$9,2),0))</x:f>
      </x:c>
      <x:c r="O114" s="108" t="str">
        <x:f>IF(A114="","",IF(F114="Yes",ROUND(MIN(K114*SETTINGS!$B$13,SETTINGS!$B$14),2),0))</x:f>
      </x:c>
      <x:c r="P114" s="108" t="str">
        <x:f>IF(A114="","",ROUND(K114*SETTINGS!$B$15,2))</x:f>
      </x:c>
      <x:c r="Q114" s="108" t="str">
        <x:f>IF(A114="","",ROUND(SUM(L114:P114)+G114,2))</x:f>
      </x:c>
      <x:c r="R114" s="108" t="str">
        <x:f>IF(A114="","",ROUND(K114-Q114,2))</x:f>
      </x:c>
      <x:c r="S114" s="109" t="str">
        <x:f>IF(OR(A114="",K114=0),"",R114/K114)</x:f>
      </x:c>
      <x:c r="T114" s="110"/>
    </x:row>
    <x:row r="115" ht="23" customHeight="1">
      <x:c r="A115" s="105"/>
      <x:c r="B115" s="106"/>
      <x:c r="C115" s="107"/>
      <x:c r="D115" s="107"/>
      <x:c r="E115" s="106"/>
      <x:c r="F115" s="106"/>
      <x:c r="G115" s="107"/>
      <x:c r="H115" s="107"/>
      <x:c r="I115" s="108" t="str">
        <x:f>IF(OR(C115="",E115=""),"",ROUND(C115*E115,2))</x:f>
      </x:c>
      <x:c r="J115" s="108" t="str">
        <x:f>IF(I115="","",ROUND(I115+D115,2))</x:f>
      </x:c>
      <x:c r="K115" s="108" t="str">
        <x:f>IF(J115="","",MAX(ROUND(J115-H115,2),0))</x:f>
      </x:c>
      <x:c r="L115" s="108" t="str">
        <x:f>IF(A115="","",ROUND(E115*SETTINGS!$B$6,2))</x:f>
      </x:c>
      <x:c r="M115" s="108" t="str">
        <x:f>IF(A115="","",ROUND(K115*SETTINGS!$B$7,2))</x:f>
      </x:c>
      <x:c r="N115" s="108" t="str">
        <x:f>IF(A115="","",IF(K115&gt;0,ROUND(K115*SETTINGS!$B$8+SETTINGS!$B$9,2),0))</x:f>
      </x:c>
      <x:c r="O115" s="108" t="str">
        <x:f>IF(A115="","",IF(F115="Yes",ROUND(MIN(K115*SETTINGS!$B$13,SETTINGS!$B$14),2),0))</x:f>
      </x:c>
      <x:c r="P115" s="108" t="str">
        <x:f>IF(A115="","",ROUND(K115*SETTINGS!$B$15,2))</x:f>
      </x:c>
      <x:c r="Q115" s="108" t="str">
        <x:f>IF(A115="","",ROUND(SUM(L115:P115)+G115,2))</x:f>
      </x:c>
      <x:c r="R115" s="108" t="str">
        <x:f>IF(A115="","",ROUND(K115-Q115,2))</x:f>
      </x:c>
      <x:c r="S115" s="109" t="str">
        <x:f>IF(OR(A115="",K115=0),"",R115/K115)</x:f>
      </x:c>
      <x:c r="T115" s="110"/>
    </x:row>
    <x:row r="116" ht="23" customHeight="1">
      <x:c r="A116" s="105"/>
      <x:c r="B116" s="106"/>
      <x:c r="C116" s="107"/>
      <x:c r="D116" s="107"/>
      <x:c r="E116" s="106"/>
      <x:c r="F116" s="106"/>
      <x:c r="G116" s="107"/>
      <x:c r="H116" s="107"/>
      <x:c r="I116" s="108" t="str">
        <x:f>IF(OR(C116="",E116=""),"",ROUND(C116*E116,2))</x:f>
      </x:c>
      <x:c r="J116" s="108" t="str">
        <x:f>IF(I116="","",ROUND(I116+D116,2))</x:f>
      </x:c>
      <x:c r="K116" s="108" t="str">
        <x:f>IF(J116="","",MAX(ROUND(J116-H116,2),0))</x:f>
      </x:c>
      <x:c r="L116" s="108" t="str">
        <x:f>IF(A116="","",ROUND(E116*SETTINGS!$B$6,2))</x:f>
      </x:c>
      <x:c r="M116" s="108" t="str">
        <x:f>IF(A116="","",ROUND(K116*SETTINGS!$B$7,2))</x:f>
      </x:c>
      <x:c r="N116" s="108" t="str">
        <x:f>IF(A116="","",IF(K116&gt;0,ROUND(K116*SETTINGS!$B$8+SETTINGS!$B$9,2),0))</x:f>
      </x:c>
      <x:c r="O116" s="108" t="str">
        <x:f>IF(A116="","",IF(F116="Yes",ROUND(MIN(K116*SETTINGS!$B$13,SETTINGS!$B$14),2),0))</x:f>
      </x:c>
      <x:c r="P116" s="108" t="str">
        <x:f>IF(A116="","",ROUND(K116*SETTINGS!$B$15,2))</x:f>
      </x:c>
      <x:c r="Q116" s="108" t="str">
        <x:f>IF(A116="","",ROUND(SUM(L116:P116)+G116,2))</x:f>
      </x:c>
      <x:c r="R116" s="108" t="str">
        <x:f>IF(A116="","",ROUND(K116-Q116,2))</x:f>
      </x:c>
      <x:c r="S116" s="109" t="str">
        <x:f>IF(OR(A116="",K116=0),"",R116/K116)</x:f>
      </x:c>
      <x:c r="T116" s="110"/>
    </x:row>
    <x:row r="117" ht="23" customHeight="1">
      <x:c r="A117" s="105"/>
      <x:c r="B117" s="106"/>
      <x:c r="C117" s="107"/>
      <x:c r="D117" s="107"/>
      <x:c r="E117" s="106"/>
      <x:c r="F117" s="106"/>
      <x:c r="G117" s="107"/>
      <x:c r="H117" s="107"/>
      <x:c r="I117" s="108" t="str">
        <x:f>IF(OR(C117="",E117=""),"",ROUND(C117*E117,2))</x:f>
      </x:c>
      <x:c r="J117" s="108" t="str">
        <x:f>IF(I117="","",ROUND(I117+D117,2))</x:f>
      </x:c>
      <x:c r="K117" s="108" t="str">
        <x:f>IF(J117="","",MAX(ROUND(J117-H117,2),0))</x:f>
      </x:c>
      <x:c r="L117" s="108" t="str">
        <x:f>IF(A117="","",ROUND(E117*SETTINGS!$B$6,2))</x:f>
      </x:c>
      <x:c r="M117" s="108" t="str">
        <x:f>IF(A117="","",ROUND(K117*SETTINGS!$B$7,2))</x:f>
      </x:c>
      <x:c r="N117" s="108" t="str">
        <x:f>IF(A117="","",IF(K117&gt;0,ROUND(K117*SETTINGS!$B$8+SETTINGS!$B$9,2),0))</x:f>
      </x:c>
      <x:c r="O117" s="108" t="str">
        <x:f>IF(A117="","",IF(F117="Yes",ROUND(MIN(K117*SETTINGS!$B$13,SETTINGS!$B$14),2),0))</x:f>
      </x:c>
      <x:c r="P117" s="108" t="str">
        <x:f>IF(A117="","",ROUND(K117*SETTINGS!$B$15,2))</x:f>
      </x:c>
      <x:c r="Q117" s="108" t="str">
        <x:f>IF(A117="","",ROUND(SUM(L117:P117)+G117,2))</x:f>
      </x:c>
      <x:c r="R117" s="108" t="str">
        <x:f>IF(A117="","",ROUND(K117-Q117,2))</x:f>
      </x:c>
      <x:c r="S117" s="109" t="str">
        <x:f>IF(OR(A117="",K117=0),"",R117/K117)</x:f>
      </x:c>
      <x:c r="T117" s="110"/>
    </x:row>
    <x:row r="118" ht="23" customHeight="1">
      <x:c r="A118" s="105"/>
      <x:c r="B118" s="106"/>
      <x:c r="C118" s="107"/>
      <x:c r="D118" s="107"/>
      <x:c r="E118" s="106"/>
      <x:c r="F118" s="106"/>
      <x:c r="G118" s="107"/>
      <x:c r="H118" s="107"/>
      <x:c r="I118" s="108" t="str">
        <x:f>IF(OR(C118="",E118=""),"",ROUND(C118*E118,2))</x:f>
      </x:c>
      <x:c r="J118" s="108" t="str">
        <x:f>IF(I118="","",ROUND(I118+D118,2))</x:f>
      </x:c>
      <x:c r="K118" s="108" t="str">
        <x:f>IF(J118="","",MAX(ROUND(J118-H118,2),0))</x:f>
      </x:c>
      <x:c r="L118" s="108" t="str">
        <x:f>IF(A118="","",ROUND(E118*SETTINGS!$B$6,2))</x:f>
      </x:c>
      <x:c r="M118" s="108" t="str">
        <x:f>IF(A118="","",ROUND(K118*SETTINGS!$B$7,2))</x:f>
      </x:c>
      <x:c r="N118" s="108" t="str">
        <x:f>IF(A118="","",IF(K118&gt;0,ROUND(K118*SETTINGS!$B$8+SETTINGS!$B$9,2),0))</x:f>
      </x:c>
      <x:c r="O118" s="108" t="str">
        <x:f>IF(A118="","",IF(F118="Yes",ROUND(MIN(K118*SETTINGS!$B$13,SETTINGS!$B$14),2),0))</x:f>
      </x:c>
      <x:c r="P118" s="108" t="str">
        <x:f>IF(A118="","",ROUND(K118*SETTINGS!$B$15,2))</x:f>
      </x:c>
      <x:c r="Q118" s="108" t="str">
        <x:f>IF(A118="","",ROUND(SUM(L118:P118)+G118,2))</x:f>
      </x:c>
      <x:c r="R118" s="108" t="str">
        <x:f>IF(A118="","",ROUND(K118-Q118,2))</x:f>
      </x:c>
      <x:c r="S118" s="109" t="str">
        <x:f>IF(OR(A118="",K118=0),"",R118/K118)</x:f>
      </x:c>
      <x:c r="T118" s="110"/>
    </x:row>
    <x:row r="119" ht="23" customHeight="1">
      <x:c r="A119" s="105"/>
      <x:c r="B119" s="106"/>
      <x:c r="C119" s="107"/>
      <x:c r="D119" s="107"/>
      <x:c r="E119" s="106"/>
      <x:c r="F119" s="106"/>
      <x:c r="G119" s="107"/>
      <x:c r="H119" s="107"/>
      <x:c r="I119" s="108" t="str">
        <x:f>IF(OR(C119="",E119=""),"",ROUND(C119*E119,2))</x:f>
      </x:c>
      <x:c r="J119" s="108" t="str">
        <x:f>IF(I119="","",ROUND(I119+D119,2))</x:f>
      </x:c>
      <x:c r="K119" s="108" t="str">
        <x:f>IF(J119="","",MAX(ROUND(J119-H119,2),0))</x:f>
      </x:c>
      <x:c r="L119" s="108" t="str">
        <x:f>IF(A119="","",ROUND(E119*SETTINGS!$B$6,2))</x:f>
      </x:c>
      <x:c r="M119" s="108" t="str">
        <x:f>IF(A119="","",ROUND(K119*SETTINGS!$B$7,2))</x:f>
      </x:c>
      <x:c r="N119" s="108" t="str">
        <x:f>IF(A119="","",IF(K119&gt;0,ROUND(K119*SETTINGS!$B$8+SETTINGS!$B$9,2),0))</x:f>
      </x:c>
      <x:c r="O119" s="108" t="str">
        <x:f>IF(A119="","",IF(F119="Yes",ROUND(MIN(K119*SETTINGS!$B$13,SETTINGS!$B$14),2),0))</x:f>
      </x:c>
      <x:c r="P119" s="108" t="str">
        <x:f>IF(A119="","",ROUND(K119*SETTINGS!$B$15,2))</x:f>
      </x:c>
      <x:c r="Q119" s="108" t="str">
        <x:f>IF(A119="","",ROUND(SUM(L119:P119)+G119,2))</x:f>
      </x:c>
      <x:c r="R119" s="108" t="str">
        <x:f>IF(A119="","",ROUND(K119-Q119,2))</x:f>
      </x:c>
      <x:c r="S119" s="109" t="str">
        <x:f>IF(OR(A119="",K119=0),"",R119/K119)</x:f>
      </x:c>
      <x:c r="T119" s="110"/>
    </x:row>
    <x:row r="120" ht="23" customHeight="1">
      <x:c r="A120" s="105"/>
      <x:c r="B120" s="106"/>
      <x:c r="C120" s="107"/>
      <x:c r="D120" s="107"/>
      <x:c r="E120" s="106"/>
      <x:c r="F120" s="106"/>
      <x:c r="G120" s="107"/>
      <x:c r="H120" s="107"/>
      <x:c r="I120" s="108" t="str">
        <x:f>IF(OR(C120="",E120=""),"",ROUND(C120*E120,2))</x:f>
      </x:c>
      <x:c r="J120" s="108" t="str">
        <x:f>IF(I120="","",ROUND(I120+D120,2))</x:f>
      </x:c>
      <x:c r="K120" s="108" t="str">
        <x:f>IF(J120="","",MAX(ROUND(J120-H120,2),0))</x:f>
      </x:c>
      <x:c r="L120" s="108" t="str">
        <x:f>IF(A120="","",ROUND(E120*SETTINGS!$B$6,2))</x:f>
      </x:c>
      <x:c r="M120" s="108" t="str">
        <x:f>IF(A120="","",ROUND(K120*SETTINGS!$B$7,2))</x:f>
      </x:c>
      <x:c r="N120" s="108" t="str">
        <x:f>IF(A120="","",IF(K120&gt;0,ROUND(K120*SETTINGS!$B$8+SETTINGS!$B$9,2),0))</x:f>
      </x:c>
      <x:c r="O120" s="108" t="str">
        <x:f>IF(A120="","",IF(F120="Yes",ROUND(MIN(K120*SETTINGS!$B$13,SETTINGS!$B$14),2),0))</x:f>
      </x:c>
      <x:c r="P120" s="108" t="str">
        <x:f>IF(A120="","",ROUND(K120*SETTINGS!$B$15,2))</x:f>
      </x:c>
      <x:c r="Q120" s="108" t="str">
        <x:f>IF(A120="","",ROUND(SUM(L120:P120)+G120,2))</x:f>
      </x:c>
      <x:c r="R120" s="108" t="str">
        <x:f>IF(A120="","",ROUND(K120-Q120,2))</x:f>
      </x:c>
      <x:c r="S120" s="109" t="str">
        <x:f>IF(OR(A120="",K120=0),"",R120/K120)</x:f>
      </x:c>
      <x:c r="T120" s="110"/>
    </x:row>
    <x:row r="121" ht="23" customHeight="1">
      <x:c r="A121" s="105"/>
      <x:c r="B121" s="106"/>
      <x:c r="C121" s="107"/>
      <x:c r="D121" s="107"/>
      <x:c r="E121" s="106"/>
      <x:c r="F121" s="106"/>
      <x:c r="G121" s="107"/>
      <x:c r="H121" s="107"/>
      <x:c r="I121" s="108" t="str">
        <x:f>IF(OR(C121="",E121=""),"",ROUND(C121*E121,2))</x:f>
      </x:c>
      <x:c r="J121" s="108" t="str">
        <x:f>IF(I121="","",ROUND(I121+D121,2))</x:f>
      </x:c>
      <x:c r="K121" s="108" t="str">
        <x:f>IF(J121="","",MAX(ROUND(J121-H121,2),0))</x:f>
      </x:c>
      <x:c r="L121" s="108" t="str">
        <x:f>IF(A121="","",ROUND(E121*SETTINGS!$B$6,2))</x:f>
      </x:c>
      <x:c r="M121" s="108" t="str">
        <x:f>IF(A121="","",ROUND(K121*SETTINGS!$B$7,2))</x:f>
      </x:c>
      <x:c r="N121" s="108" t="str">
        <x:f>IF(A121="","",IF(K121&gt;0,ROUND(K121*SETTINGS!$B$8+SETTINGS!$B$9,2),0))</x:f>
      </x:c>
      <x:c r="O121" s="108" t="str">
        <x:f>IF(A121="","",IF(F121="Yes",ROUND(MIN(K121*SETTINGS!$B$13,SETTINGS!$B$14),2),0))</x:f>
      </x:c>
      <x:c r="P121" s="108" t="str">
        <x:f>IF(A121="","",ROUND(K121*SETTINGS!$B$15,2))</x:f>
      </x:c>
      <x:c r="Q121" s="108" t="str">
        <x:f>IF(A121="","",ROUND(SUM(L121:P121)+G121,2))</x:f>
      </x:c>
      <x:c r="R121" s="108" t="str">
        <x:f>IF(A121="","",ROUND(K121-Q121,2))</x:f>
      </x:c>
      <x:c r="S121" s="109" t="str">
        <x:f>IF(OR(A121="",K121=0),"",R121/K121)</x:f>
      </x:c>
      <x:c r="T121" s="110"/>
    </x:row>
    <x:row r="122" ht="23" customHeight="1">
      <x:c r="A122" s="105"/>
      <x:c r="B122" s="106"/>
      <x:c r="C122" s="107"/>
      <x:c r="D122" s="107"/>
      <x:c r="E122" s="106"/>
      <x:c r="F122" s="106"/>
      <x:c r="G122" s="107"/>
      <x:c r="H122" s="107"/>
      <x:c r="I122" s="108" t="str">
        <x:f>IF(OR(C122="",E122=""),"",ROUND(C122*E122,2))</x:f>
      </x:c>
      <x:c r="J122" s="108" t="str">
        <x:f>IF(I122="","",ROUND(I122+D122,2))</x:f>
      </x:c>
      <x:c r="K122" s="108" t="str">
        <x:f>IF(J122="","",MAX(ROUND(J122-H122,2),0))</x:f>
      </x:c>
      <x:c r="L122" s="108" t="str">
        <x:f>IF(A122="","",ROUND(E122*SETTINGS!$B$6,2))</x:f>
      </x:c>
      <x:c r="M122" s="108" t="str">
        <x:f>IF(A122="","",ROUND(K122*SETTINGS!$B$7,2))</x:f>
      </x:c>
      <x:c r="N122" s="108" t="str">
        <x:f>IF(A122="","",IF(K122&gt;0,ROUND(K122*SETTINGS!$B$8+SETTINGS!$B$9,2),0))</x:f>
      </x:c>
      <x:c r="O122" s="108" t="str">
        <x:f>IF(A122="","",IF(F122="Yes",ROUND(MIN(K122*SETTINGS!$B$13,SETTINGS!$B$14),2),0))</x:f>
      </x:c>
      <x:c r="P122" s="108" t="str">
        <x:f>IF(A122="","",ROUND(K122*SETTINGS!$B$15,2))</x:f>
      </x:c>
      <x:c r="Q122" s="108" t="str">
        <x:f>IF(A122="","",ROUND(SUM(L122:P122)+G122,2))</x:f>
      </x:c>
      <x:c r="R122" s="108" t="str">
        <x:f>IF(A122="","",ROUND(K122-Q122,2))</x:f>
      </x:c>
      <x:c r="S122" s="109" t="str">
        <x:f>IF(OR(A122="",K122=0),"",R122/K122)</x:f>
      </x:c>
      <x:c r="T122" s="110"/>
    </x:row>
    <x:row r="123" ht="23" customHeight="1">
      <x:c r="A123" s="105"/>
      <x:c r="B123" s="106"/>
      <x:c r="C123" s="107"/>
      <x:c r="D123" s="107"/>
      <x:c r="E123" s="106"/>
      <x:c r="F123" s="106"/>
      <x:c r="G123" s="107"/>
      <x:c r="H123" s="107"/>
      <x:c r="I123" s="108" t="str">
        <x:f>IF(OR(C123="",E123=""),"",ROUND(C123*E123,2))</x:f>
      </x:c>
      <x:c r="J123" s="108" t="str">
        <x:f>IF(I123="","",ROUND(I123+D123,2))</x:f>
      </x:c>
      <x:c r="K123" s="108" t="str">
        <x:f>IF(J123="","",MAX(ROUND(J123-H123,2),0))</x:f>
      </x:c>
      <x:c r="L123" s="108" t="str">
        <x:f>IF(A123="","",ROUND(E123*SETTINGS!$B$6,2))</x:f>
      </x:c>
      <x:c r="M123" s="108" t="str">
        <x:f>IF(A123="","",ROUND(K123*SETTINGS!$B$7,2))</x:f>
      </x:c>
      <x:c r="N123" s="108" t="str">
        <x:f>IF(A123="","",IF(K123&gt;0,ROUND(K123*SETTINGS!$B$8+SETTINGS!$B$9,2),0))</x:f>
      </x:c>
      <x:c r="O123" s="108" t="str">
        <x:f>IF(A123="","",IF(F123="Yes",ROUND(MIN(K123*SETTINGS!$B$13,SETTINGS!$B$14),2),0))</x:f>
      </x:c>
      <x:c r="P123" s="108" t="str">
        <x:f>IF(A123="","",ROUND(K123*SETTINGS!$B$15,2))</x:f>
      </x:c>
      <x:c r="Q123" s="108" t="str">
        <x:f>IF(A123="","",ROUND(SUM(L123:P123)+G123,2))</x:f>
      </x:c>
      <x:c r="R123" s="108" t="str">
        <x:f>IF(A123="","",ROUND(K123-Q123,2))</x:f>
      </x:c>
      <x:c r="S123" s="109" t="str">
        <x:f>IF(OR(A123="",K123=0),"",R123/K123)</x:f>
      </x:c>
      <x:c r="T123" s="110"/>
    </x:row>
    <x:row r="124" ht="23" customHeight="1">
      <x:c r="A124" s="105"/>
      <x:c r="B124" s="106"/>
      <x:c r="C124" s="107"/>
      <x:c r="D124" s="107"/>
      <x:c r="E124" s="106"/>
      <x:c r="F124" s="106"/>
      <x:c r="G124" s="107"/>
      <x:c r="H124" s="107"/>
      <x:c r="I124" s="108" t="str">
        <x:f>IF(OR(C124="",E124=""),"",ROUND(C124*E124,2))</x:f>
      </x:c>
      <x:c r="J124" s="108" t="str">
        <x:f>IF(I124="","",ROUND(I124+D124,2))</x:f>
      </x:c>
      <x:c r="K124" s="108" t="str">
        <x:f>IF(J124="","",MAX(ROUND(J124-H124,2),0))</x:f>
      </x:c>
      <x:c r="L124" s="108" t="str">
        <x:f>IF(A124="","",ROUND(E124*SETTINGS!$B$6,2))</x:f>
      </x:c>
      <x:c r="M124" s="108" t="str">
        <x:f>IF(A124="","",ROUND(K124*SETTINGS!$B$7,2))</x:f>
      </x:c>
      <x:c r="N124" s="108" t="str">
        <x:f>IF(A124="","",IF(K124&gt;0,ROUND(K124*SETTINGS!$B$8+SETTINGS!$B$9,2),0))</x:f>
      </x:c>
      <x:c r="O124" s="108" t="str">
        <x:f>IF(A124="","",IF(F124="Yes",ROUND(MIN(K124*SETTINGS!$B$13,SETTINGS!$B$14),2),0))</x:f>
      </x:c>
      <x:c r="P124" s="108" t="str">
        <x:f>IF(A124="","",ROUND(K124*SETTINGS!$B$15,2))</x:f>
      </x:c>
      <x:c r="Q124" s="108" t="str">
        <x:f>IF(A124="","",ROUND(SUM(L124:P124)+G124,2))</x:f>
      </x:c>
      <x:c r="R124" s="108" t="str">
        <x:f>IF(A124="","",ROUND(K124-Q124,2))</x:f>
      </x:c>
      <x:c r="S124" s="109" t="str">
        <x:f>IF(OR(A124="",K124=0),"",R124/K124)</x:f>
      </x:c>
      <x:c r="T124" s="110"/>
    </x:row>
    <x:row r="125" ht="23" customHeight="1">
      <x:c r="A125" s="105"/>
      <x:c r="B125" s="106"/>
      <x:c r="C125" s="107"/>
      <x:c r="D125" s="107"/>
      <x:c r="E125" s="106"/>
      <x:c r="F125" s="106"/>
      <x:c r="G125" s="107"/>
      <x:c r="H125" s="107"/>
      <x:c r="I125" s="108" t="str">
        <x:f>IF(OR(C125="",E125=""),"",ROUND(C125*E125,2))</x:f>
      </x:c>
      <x:c r="J125" s="108" t="str">
        <x:f>IF(I125="","",ROUND(I125+D125,2))</x:f>
      </x:c>
      <x:c r="K125" s="108" t="str">
        <x:f>IF(J125="","",MAX(ROUND(J125-H125,2),0))</x:f>
      </x:c>
      <x:c r="L125" s="108" t="str">
        <x:f>IF(A125="","",ROUND(E125*SETTINGS!$B$6,2))</x:f>
      </x:c>
      <x:c r="M125" s="108" t="str">
        <x:f>IF(A125="","",ROUND(K125*SETTINGS!$B$7,2))</x:f>
      </x:c>
      <x:c r="N125" s="108" t="str">
        <x:f>IF(A125="","",IF(K125&gt;0,ROUND(K125*SETTINGS!$B$8+SETTINGS!$B$9,2),0))</x:f>
      </x:c>
      <x:c r="O125" s="108" t="str">
        <x:f>IF(A125="","",IF(F125="Yes",ROUND(MIN(K125*SETTINGS!$B$13,SETTINGS!$B$14),2),0))</x:f>
      </x:c>
      <x:c r="P125" s="108" t="str">
        <x:f>IF(A125="","",ROUND(K125*SETTINGS!$B$15,2))</x:f>
      </x:c>
      <x:c r="Q125" s="108" t="str">
        <x:f>IF(A125="","",ROUND(SUM(L125:P125)+G125,2))</x:f>
      </x:c>
      <x:c r="R125" s="108" t="str">
        <x:f>IF(A125="","",ROUND(K125-Q125,2))</x:f>
      </x:c>
      <x:c r="S125" s="109" t="str">
        <x:f>IF(OR(A125="",K125=0),"",R125/K125)</x:f>
      </x:c>
      <x:c r="T125" s="110"/>
    </x:row>
    <x:row r="126" ht="23" customHeight="1">
      <x:c r="A126" s="105"/>
      <x:c r="B126" s="106"/>
      <x:c r="C126" s="107"/>
      <x:c r="D126" s="107"/>
      <x:c r="E126" s="106"/>
      <x:c r="F126" s="106"/>
      <x:c r="G126" s="107"/>
      <x:c r="H126" s="107"/>
      <x:c r="I126" s="108" t="str">
        <x:f>IF(OR(C126="",E126=""),"",ROUND(C126*E126,2))</x:f>
      </x:c>
      <x:c r="J126" s="108" t="str">
        <x:f>IF(I126="","",ROUND(I126+D126,2))</x:f>
      </x:c>
      <x:c r="K126" s="108" t="str">
        <x:f>IF(J126="","",MAX(ROUND(J126-H126,2),0))</x:f>
      </x:c>
      <x:c r="L126" s="108" t="str">
        <x:f>IF(A126="","",ROUND(E126*SETTINGS!$B$6,2))</x:f>
      </x:c>
      <x:c r="M126" s="108" t="str">
        <x:f>IF(A126="","",ROUND(K126*SETTINGS!$B$7,2))</x:f>
      </x:c>
      <x:c r="N126" s="108" t="str">
        <x:f>IF(A126="","",IF(K126&gt;0,ROUND(K126*SETTINGS!$B$8+SETTINGS!$B$9,2),0))</x:f>
      </x:c>
      <x:c r="O126" s="108" t="str">
        <x:f>IF(A126="","",IF(F126="Yes",ROUND(MIN(K126*SETTINGS!$B$13,SETTINGS!$B$14),2),0))</x:f>
      </x:c>
      <x:c r="P126" s="108" t="str">
        <x:f>IF(A126="","",ROUND(K126*SETTINGS!$B$15,2))</x:f>
      </x:c>
      <x:c r="Q126" s="108" t="str">
        <x:f>IF(A126="","",ROUND(SUM(L126:P126)+G126,2))</x:f>
      </x:c>
      <x:c r="R126" s="108" t="str">
        <x:f>IF(A126="","",ROUND(K126-Q126,2))</x:f>
      </x:c>
      <x:c r="S126" s="109" t="str">
        <x:f>IF(OR(A126="",K126=0),"",R126/K126)</x:f>
      </x:c>
      <x:c r="T126" s="110"/>
    </x:row>
    <x:row r="127" ht="23" customHeight="1">
      <x:c r="A127" s="105"/>
      <x:c r="B127" s="106"/>
      <x:c r="C127" s="107"/>
      <x:c r="D127" s="107"/>
      <x:c r="E127" s="106"/>
      <x:c r="F127" s="106"/>
      <x:c r="G127" s="107"/>
      <x:c r="H127" s="107"/>
      <x:c r="I127" s="108" t="str">
        <x:f>IF(OR(C127="",E127=""),"",ROUND(C127*E127,2))</x:f>
      </x:c>
      <x:c r="J127" s="108" t="str">
        <x:f>IF(I127="","",ROUND(I127+D127,2))</x:f>
      </x:c>
      <x:c r="K127" s="108" t="str">
        <x:f>IF(J127="","",MAX(ROUND(J127-H127,2),0))</x:f>
      </x:c>
      <x:c r="L127" s="108" t="str">
        <x:f>IF(A127="","",ROUND(E127*SETTINGS!$B$6,2))</x:f>
      </x:c>
      <x:c r="M127" s="108" t="str">
        <x:f>IF(A127="","",ROUND(K127*SETTINGS!$B$7,2))</x:f>
      </x:c>
      <x:c r="N127" s="108" t="str">
        <x:f>IF(A127="","",IF(K127&gt;0,ROUND(K127*SETTINGS!$B$8+SETTINGS!$B$9,2),0))</x:f>
      </x:c>
      <x:c r="O127" s="108" t="str">
        <x:f>IF(A127="","",IF(F127="Yes",ROUND(MIN(K127*SETTINGS!$B$13,SETTINGS!$B$14),2),0))</x:f>
      </x:c>
      <x:c r="P127" s="108" t="str">
        <x:f>IF(A127="","",ROUND(K127*SETTINGS!$B$15,2))</x:f>
      </x:c>
      <x:c r="Q127" s="108" t="str">
        <x:f>IF(A127="","",ROUND(SUM(L127:P127)+G127,2))</x:f>
      </x:c>
      <x:c r="R127" s="108" t="str">
        <x:f>IF(A127="","",ROUND(K127-Q127,2))</x:f>
      </x:c>
      <x:c r="S127" s="109" t="str">
        <x:f>IF(OR(A127="",K127=0),"",R127/K127)</x:f>
      </x:c>
      <x:c r="T127" s="110"/>
    </x:row>
    <x:row r="128" ht="23" customHeight="1">
      <x:c r="A128" s="105"/>
      <x:c r="B128" s="106"/>
      <x:c r="C128" s="107"/>
      <x:c r="D128" s="107"/>
      <x:c r="E128" s="106"/>
      <x:c r="F128" s="106"/>
      <x:c r="G128" s="107"/>
      <x:c r="H128" s="107"/>
      <x:c r="I128" s="108" t="str">
        <x:f>IF(OR(C128="",E128=""),"",ROUND(C128*E128,2))</x:f>
      </x:c>
      <x:c r="J128" s="108" t="str">
        <x:f>IF(I128="","",ROUND(I128+D128,2))</x:f>
      </x:c>
      <x:c r="K128" s="108" t="str">
        <x:f>IF(J128="","",MAX(ROUND(J128-H128,2),0))</x:f>
      </x:c>
      <x:c r="L128" s="108" t="str">
        <x:f>IF(A128="","",ROUND(E128*SETTINGS!$B$6,2))</x:f>
      </x:c>
      <x:c r="M128" s="108" t="str">
        <x:f>IF(A128="","",ROUND(K128*SETTINGS!$B$7,2))</x:f>
      </x:c>
      <x:c r="N128" s="108" t="str">
        <x:f>IF(A128="","",IF(K128&gt;0,ROUND(K128*SETTINGS!$B$8+SETTINGS!$B$9,2),0))</x:f>
      </x:c>
      <x:c r="O128" s="108" t="str">
        <x:f>IF(A128="","",IF(F128="Yes",ROUND(MIN(K128*SETTINGS!$B$13,SETTINGS!$B$14),2),0))</x:f>
      </x:c>
      <x:c r="P128" s="108" t="str">
        <x:f>IF(A128="","",ROUND(K128*SETTINGS!$B$15,2))</x:f>
      </x:c>
      <x:c r="Q128" s="108" t="str">
        <x:f>IF(A128="","",ROUND(SUM(L128:P128)+G128,2))</x:f>
      </x:c>
      <x:c r="R128" s="108" t="str">
        <x:f>IF(A128="","",ROUND(K128-Q128,2))</x:f>
      </x:c>
      <x:c r="S128" s="109" t="str">
        <x:f>IF(OR(A128="",K128=0),"",R128/K128)</x:f>
      </x:c>
      <x:c r="T128" s="110"/>
    </x:row>
    <x:row r="129" ht="23" customHeight="1">
      <x:c r="A129" s="105"/>
      <x:c r="B129" s="106"/>
      <x:c r="C129" s="107"/>
      <x:c r="D129" s="107"/>
      <x:c r="E129" s="106"/>
      <x:c r="F129" s="106"/>
      <x:c r="G129" s="107"/>
      <x:c r="H129" s="107"/>
      <x:c r="I129" s="108" t="str">
        <x:f>IF(OR(C129="",E129=""),"",ROUND(C129*E129,2))</x:f>
      </x:c>
      <x:c r="J129" s="108" t="str">
        <x:f>IF(I129="","",ROUND(I129+D129,2))</x:f>
      </x:c>
      <x:c r="K129" s="108" t="str">
        <x:f>IF(J129="","",MAX(ROUND(J129-H129,2),0))</x:f>
      </x:c>
      <x:c r="L129" s="108" t="str">
        <x:f>IF(A129="","",ROUND(E129*SETTINGS!$B$6,2))</x:f>
      </x:c>
      <x:c r="M129" s="108" t="str">
        <x:f>IF(A129="","",ROUND(K129*SETTINGS!$B$7,2))</x:f>
      </x:c>
      <x:c r="N129" s="108" t="str">
        <x:f>IF(A129="","",IF(K129&gt;0,ROUND(K129*SETTINGS!$B$8+SETTINGS!$B$9,2),0))</x:f>
      </x:c>
      <x:c r="O129" s="108" t="str">
        <x:f>IF(A129="","",IF(F129="Yes",ROUND(MIN(K129*SETTINGS!$B$13,SETTINGS!$B$14),2),0))</x:f>
      </x:c>
      <x:c r="P129" s="108" t="str">
        <x:f>IF(A129="","",ROUND(K129*SETTINGS!$B$15,2))</x:f>
      </x:c>
      <x:c r="Q129" s="108" t="str">
        <x:f>IF(A129="","",ROUND(SUM(L129:P129)+G129,2))</x:f>
      </x:c>
      <x:c r="R129" s="108" t="str">
        <x:f>IF(A129="","",ROUND(K129-Q129,2))</x:f>
      </x:c>
      <x:c r="S129" s="109" t="str">
        <x:f>IF(OR(A129="",K129=0),"",R129/K129)</x:f>
      </x:c>
      <x:c r="T129" s="110"/>
    </x:row>
    <x:row r="130" ht="23" customHeight="1">
      <x:c r="A130" s="105"/>
      <x:c r="B130" s="106"/>
      <x:c r="C130" s="107"/>
      <x:c r="D130" s="107"/>
      <x:c r="E130" s="106"/>
      <x:c r="F130" s="106"/>
      <x:c r="G130" s="107"/>
      <x:c r="H130" s="107"/>
      <x:c r="I130" s="108" t="str">
        <x:f>IF(OR(C130="",E130=""),"",ROUND(C130*E130,2))</x:f>
      </x:c>
      <x:c r="J130" s="108" t="str">
        <x:f>IF(I130="","",ROUND(I130+D130,2))</x:f>
      </x:c>
      <x:c r="K130" s="108" t="str">
        <x:f>IF(J130="","",MAX(ROUND(J130-H130,2),0))</x:f>
      </x:c>
      <x:c r="L130" s="108" t="str">
        <x:f>IF(A130="","",ROUND(E130*SETTINGS!$B$6,2))</x:f>
      </x:c>
      <x:c r="M130" s="108" t="str">
        <x:f>IF(A130="","",ROUND(K130*SETTINGS!$B$7,2))</x:f>
      </x:c>
      <x:c r="N130" s="108" t="str">
        <x:f>IF(A130="","",IF(K130&gt;0,ROUND(K130*SETTINGS!$B$8+SETTINGS!$B$9,2),0))</x:f>
      </x:c>
      <x:c r="O130" s="108" t="str">
        <x:f>IF(A130="","",IF(F130="Yes",ROUND(MIN(K130*SETTINGS!$B$13,SETTINGS!$B$14),2),0))</x:f>
      </x:c>
      <x:c r="P130" s="108" t="str">
        <x:f>IF(A130="","",ROUND(K130*SETTINGS!$B$15,2))</x:f>
      </x:c>
      <x:c r="Q130" s="108" t="str">
        <x:f>IF(A130="","",ROUND(SUM(L130:P130)+G130,2))</x:f>
      </x:c>
      <x:c r="R130" s="108" t="str">
        <x:f>IF(A130="","",ROUND(K130-Q130,2))</x:f>
      </x:c>
      <x:c r="S130" s="109" t="str">
        <x:f>IF(OR(A130="",K130=0),"",R130/K130)</x:f>
      </x:c>
      <x:c r="T130" s="110"/>
    </x:row>
    <x:row r="131" ht="23" customHeight="1">
      <x:c r="A131" s="105"/>
      <x:c r="B131" s="106"/>
      <x:c r="C131" s="107"/>
      <x:c r="D131" s="107"/>
      <x:c r="E131" s="106"/>
      <x:c r="F131" s="106"/>
      <x:c r="G131" s="107"/>
      <x:c r="H131" s="107"/>
      <x:c r="I131" s="108" t="str">
        <x:f>IF(OR(C131="",E131=""),"",ROUND(C131*E131,2))</x:f>
      </x:c>
      <x:c r="J131" s="108" t="str">
        <x:f>IF(I131="","",ROUND(I131+D131,2))</x:f>
      </x:c>
      <x:c r="K131" s="108" t="str">
        <x:f>IF(J131="","",MAX(ROUND(J131-H131,2),0))</x:f>
      </x:c>
      <x:c r="L131" s="108" t="str">
        <x:f>IF(A131="","",ROUND(E131*SETTINGS!$B$6,2))</x:f>
      </x:c>
      <x:c r="M131" s="108" t="str">
        <x:f>IF(A131="","",ROUND(K131*SETTINGS!$B$7,2))</x:f>
      </x:c>
      <x:c r="N131" s="108" t="str">
        <x:f>IF(A131="","",IF(K131&gt;0,ROUND(K131*SETTINGS!$B$8+SETTINGS!$B$9,2),0))</x:f>
      </x:c>
      <x:c r="O131" s="108" t="str">
        <x:f>IF(A131="","",IF(F131="Yes",ROUND(MIN(K131*SETTINGS!$B$13,SETTINGS!$B$14),2),0))</x:f>
      </x:c>
      <x:c r="P131" s="108" t="str">
        <x:f>IF(A131="","",ROUND(K131*SETTINGS!$B$15,2))</x:f>
      </x:c>
      <x:c r="Q131" s="108" t="str">
        <x:f>IF(A131="","",ROUND(SUM(L131:P131)+G131,2))</x:f>
      </x:c>
      <x:c r="R131" s="108" t="str">
        <x:f>IF(A131="","",ROUND(K131-Q131,2))</x:f>
      </x:c>
      <x:c r="S131" s="109" t="str">
        <x:f>IF(OR(A131="",K131=0),"",R131/K131)</x:f>
      </x:c>
      <x:c r="T131" s="110"/>
    </x:row>
    <x:row r="132" ht="23" customHeight="1">
      <x:c r="A132" s="105"/>
      <x:c r="B132" s="106"/>
      <x:c r="C132" s="107"/>
      <x:c r="D132" s="107"/>
      <x:c r="E132" s="106"/>
      <x:c r="F132" s="106"/>
      <x:c r="G132" s="107"/>
      <x:c r="H132" s="107"/>
      <x:c r="I132" s="108" t="str">
        <x:f>IF(OR(C132="",E132=""),"",ROUND(C132*E132,2))</x:f>
      </x:c>
      <x:c r="J132" s="108" t="str">
        <x:f>IF(I132="","",ROUND(I132+D132,2))</x:f>
      </x:c>
      <x:c r="K132" s="108" t="str">
        <x:f>IF(J132="","",MAX(ROUND(J132-H132,2),0))</x:f>
      </x:c>
      <x:c r="L132" s="108" t="str">
        <x:f>IF(A132="","",ROUND(E132*SETTINGS!$B$6,2))</x:f>
      </x:c>
      <x:c r="M132" s="108" t="str">
        <x:f>IF(A132="","",ROUND(K132*SETTINGS!$B$7,2))</x:f>
      </x:c>
      <x:c r="N132" s="108" t="str">
        <x:f>IF(A132="","",IF(K132&gt;0,ROUND(K132*SETTINGS!$B$8+SETTINGS!$B$9,2),0))</x:f>
      </x:c>
      <x:c r="O132" s="108" t="str">
        <x:f>IF(A132="","",IF(F132="Yes",ROUND(MIN(K132*SETTINGS!$B$13,SETTINGS!$B$14),2),0))</x:f>
      </x:c>
      <x:c r="P132" s="108" t="str">
        <x:f>IF(A132="","",ROUND(K132*SETTINGS!$B$15,2))</x:f>
      </x:c>
      <x:c r="Q132" s="108" t="str">
        <x:f>IF(A132="","",ROUND(SUM(L132:P132)+G132,2))</x:f>
      </x:c>
      <x:c r="R132" s="108" t="str">
        <x:f>IF(A132="","",ROUND(K132-Q132,2))</x:f>
      </x:c>
      <x:c r="S132" s="109" t="str">
        <x:f>IF(OR(A132="",K132=0),"",R132/K132)</x:f>
      </x:c>
      <x:c r="T132" s="110"/>
    </x:row>
    <x:row r="133" ht="23" customHeight="1">
      <x:c r="A133" s="105"/>
      <x:c r="B133" s="106"/>
      <x:c r="C133" s="107"/>
      <x:c r="D133" s="107"/>
      <x:c r="E133" s="106"/>
      <x:c r="F133" s="106"/>
      <x:c r="G133" s="107"/>
      <x:c r="H133" s="107"/>
      <x:c r="I133" s="108" t="str">
        <x:f>IF(OR(C133="",E133=""),"",ROUND(C133*E133,2))</x:f>
      </x:c>
      <x:c r="J133" s="108" t="str">
        <x:f>IF(I133="","",ROUND(I133+D133,2))</x:f>
      </x:c>
      <x:c r="K133" s="108" t="str">
        <x:f>IF(J133="","",MAX(ROUND(J133-H133,2),0))</x:f>
      </x:c>
      <x:c r="L133" s="108" t="str">
        <x:f>IF(A133="","",ROUND(E133*SETTINGS!$B$6,2))</x:f>
      </x:c>
      <x:c r="M133" s="108" t="str">
        <x:f>IF(A133="","",ROUND(K133*SETTINGS!$B$7,2))</x:f>
      </x:c>
      <x:c r="N133" s="108" t="str">
        <x:f>IF(A133="","",IF(K133&gt;0,ROUND(K133*SETTINGS!$B$8+SETTINGS!$B$9,2),0))</x:f>
      </x:c>
      <x:c r="O133" s="108" t="str">
        <x:f>IF(A133="","",IF(F133="Yes",ROUND(MIN(K133*SETTINGS!$B$13,SETTINGS!$B$14),2),0))</x:f>
      </x:c>
      <x:c r="P133" s="108" t="str">
        <x:f>IF(A133="","",ROUND(K133*SETTINGS!$B$15,2))</x:f>
      </x:c>
      <x:c r="Q133" s="108" t="str">
        <x:f>IF(A133="","",ROUND(SUM(L133:P133)+G133,2))</x:f>
      </x:c>
      <x:c r="R133" s="108" t="str">
        <x:f>IF(A133="","",ROUND(K133-Q133,2))</x:f>
      </x:c>
      <x:c r="S133" s="109" t="str">
        <x:f>IF(OR(A133="",K133=0),"",R133/K133)</x:f>
      </x:c>
      <x:c r="T133" s="110"/>
    </x:row>
    <x:row r="134" ht="23" customHeight="1">
      <x:c r="A134" s="105"/>
      <x:c r="B134" s="106"/>
      <x:c r="C134" s="107"/>
      <x:c r="D134" s="107"/>
      <x:c r="E134" s="106"/>
      <x:c r="F134" s="106"/>
      <x:c r="G134" s="107"/>
      <x:c r="H134" s="107"/>
      <x:c r="I134" s="108" t="str">
        <x:f>IF(OR(C134="",E134=""),"",ROUND(C134*E134,2))</x:f>
      </x:c>
      <x:c r="J134" s="108" t="str">
        <x:f>IF(I134="","",ROUND(I134+D134,2))</x:f>
      </x:c>
      <x:c r="K134" s="108" t="str">
        <x:f>IF(J134="","",MAX(ROUND(J134-H134,2),0))</x:f>
      </x:c>
      <x:c r="L134" s="108" t="str">
        <x:f>IF(A134="","",ROUND(E134*SETTINGS!$B$6,2))</x:f>
      </x:c>
      <x:c r="M134" s="108" t="str">
        <x:f>IF(A134="","",ROUND(K134*SETTINGS!$B$7,2))</x:f>
      </x:c>
      <x:c r="N134" s="108" t="str">
        <x:f>IF(A134="","",IF(K134&gt;0,ROUND(K134*SETTINGS!$B$8+SETTINGS!$B$9,2),0))</x:f>
      </x:c>
      <x:c r="O134" s="108" t="str">
        <x:f>IF(A134="","",IF(F134="Yes",ROUND(MIN(K134*SETTINGS!$B$13,SETTINGS!$B$14),2),0))</x:f>
      </x:c>
      <x:c r="P134" s="108" t="str">
        <x:f>IF(A134="","",ROUND(K134*SETTINGS!$B$15,2))</x:f>
      </x:c>
      <x:c r="Q134" s="108" t="str">
        <x:f>IF(A134="","",ROUND(SUM(L134:P134)+G134,2))</x:f>
      </x:c>
      <x:c r="R134" s="108" t="str">
        <x:f>IF(A134="","",ROUND(K134-Q134,2))</x:f>
      </x:c>
      <x:c r="S134" s="109" t="str">
        <x:f>IF(OR(A134="",K134=0),"",R134/K134)</x:f>
      </x:c>
      <x:c r="T134" s="110"/>
    </x:row>
    <x:row r="135" ht="23" customHeight="1">
      <x:c r="A135" s="105"/>
      <x:c r="B135" s="106"/>
      <x:c r="C135" s="107"/>
      <x:c r="D135" s="107"/>
      <x:c r="E135" s="106"/>
      <x:c r="F135" s="106"/>
      <x:c r="G135" s="107"/>
      <x:c r="H135" s="107"/>
      <x:c r="I135" s="108" t="str">
        <x:f>IF(OR(C135="",E135=""),"",ROUND(C135*E135,2))</x:f>
      </x:c>
      <x:c r="J135" s="108" t="str">
        <x:f>IF(I135="","",ROUND(I135+D135,2))</x:f>
      </x:c>
      <x:c r="K135" s="108" t="str">
        <x:f>IF(J135="","",MAX(ROUND(J135-H135,2),0))</x:f>
      </x:c>
      <x:c r="L135" s="108" t="str">
        <x:f>IF(A135="","",ROUND(E135*SETTINGS!$B$6,2))</x:f>
      </x:c>
      <x:c r="M135" s="108" t="str">
        <x:f>IF(A135="","",ROUND(K135*SETTINGS!$B$7,2))</x:f>
      </x:c>
      <x:c r="N135" s="108" t="str">
        <x:f>IF(A135="","",IF(K135&gt;0,ROUND(K135*SETTINGS!$B$8+SETTINGS!$B$9,2),0))</x:f>
      </x:c>
      <x:c r="O135" s="108" t="str">
        <x:f>IF(A135="","",IF(F135="Yes",ROUND(MIN(K135*SETTINGS!$B$13,SETTINGS!$B$14),2),0))</x:f>
      </x:c>
      <x:c r="P135" s="108" t="str">
        <x:f>IF(A135="","",ROUND(K135*SETTINGS!$B$15,2))</x:f>
      </x:c>
      <x:c r="Q135" s="108" t="str">
        <x:f>IF(A135="","",ROUND(SUM(L135:P135)+G135,2))</x:f>
      </x:c>
      <x:c r="R135" s="108" t="str">
        <x:f>IF(A135="","",ROUND(K135-Q135,2))</x:f>
      </x:c>
      <x:c r="S135" s="109" t="str">
        <x:f>IF(OR(A135="",K135=0),"",R135/K135)</x:f>
      </x:c>
      <x:c r="T135" s="110"/>
    </x:row>
    <x:row r="136" ht="23" customHeight="1">
      <x:c r="A136" s="105"/>
      <x:c r="B136" s="106"/>
      <x:c r="C136" s="107"/>
      <x:c r="D136" s="107"/>
      <x:c r="E136" s="106"/>
      <x:c r="F136" s="106"/>
      <x:c r="G136" s="107"/>
      <x:c r="H136" s="107"/>
      <x:c r="I136" s="108" t="str">
        <x:f>IF(OR(C136="",E136=""),"",ROUND(C136*E136,2))</x:f>
      </x:c>
      <x:c r="J136" s="108" t="str">
        <x:f>IF(I136="","",ROUND(I136+D136,2))</x:f>
      </x:c>
      <x:c r="K136" s="108" t="str">
        <x:f>IF(J136="","",MAX(ROUND(J136-H136,2),0))</x:f>
      </x:c>
      <x:c r="L136" s="108" t="str">
        <x:f>IF(A136="","",ROUND(E136*SETTINGS!$B$6,2))</x:f>
      </x:c>
      <x:c r="M136" s="108" t="str">
        <x:f>IF(A136="","",ROUND(K136*SETTINGS!$B$7,2))</x:f>
      </x:c>
      <x:c r="N136" s="108" t="str">
        <x:f>IF(A136="","",IF(K136&gt;0,ROUND(K136*SETTINGS!$B$8+SETTINGS!$B$9,2),0))</x:f>
      </x:c>
      <x:c r="O136" s="108" t="str">
        <x:f>IF(A136="","",IF(F136="Yes",ROUND(MIN(K136*SETTINGS!$B$13,SETTINGS!$B$14),2),0))</x:f>
      </x:c>
      <x:c r="P136" s="108" t="str">
        <x:f>IF(A136="","",ROUND(K136*SETTINGS!$B$15,2))</x:f>
      </x:c>
      <x:c r="Q136" s="108" t="str">
        <x:f>IF(A136="","",ROUND(SUM(L136:P136)+G136,2))</x:f>
      </x:c>
      <x:c r="R136" s="108" t="str">
        <x:f>IF(A136="","",ROUND(K136-Q136,2))</x:f>
      </x:c>
      <x:c r="S136" s="109" t="str">
        <x:f>IF(OR(A136="",K136=0),"",R136/K136)</x:f>
      </x:c>
      <x:c r="T136" s="110"/>
    </x:row>
    <x:row r="137" ht="23" customHeight="1">
      <x:c r="A137" s="105"/>
      <x:c r="B137" s="106"/>
      <x:c r="C137" s="107"/>
      <x:c r="D137" s="107"/>
      <x:c r="E137" s="106"/>
      <x:c r="F137" s="106"/>
      <x:c r="G137" s="107"/>
      <x:c r="H137" s="107"/>
      <x:c r="I137" s="108" t="str">
        <x:f>IF(OR(C137="",E137=""),"",ROUND(C137*E137,2))</x:f>
      </x:c>
      <x:c r="J137" s="108" t="str">
        <x:f>IF(I137="","",ROUND(I137+D137,2))</x:f>
      </x:c>
      <x:c r="K137" s="108" t="str">
        <x:f>IF(J137="","",MAX(ROUND(J137-H137,2),0))</x:f>
      </x:c>
      <x:c r="L137" s="108" t="str">
        <x:f>IF(A137="","",ROUND(E137*SETTINGS!$B$6,2))</x:f>
      </x:c>
      <x:c r="M137" s="108" t="str">
        <x:f>IF(A137="","",ROUND(K137*SETTINGS!$B$7,2))</x:f>
      </x:c>
      <x:c r="N137" s="108" t="str">
        <x:f>IF(A137="","",IF(K137&gt;0,ROUND(K137*SETTINGS!$B$8+SETTINGS!$B$9,2),0))</x:f>
      </x:c>
      <x:c r="O137" s="108" t="str">
        <x:f>IF(A137="","",IF(F137="Yes",ROUND(MIN(K137*SETTINGS!$B$13,SETTINGS!$B$14),2),0))</x:f>
      </x:c>
      <x:c r="P137" s="108" t="str">
        <x:f>IF(A137="","",ROUND(K137*SETTINGS!$B$15,2))</x:f>
      </x:c>
      <x:c r="Q137" s="108" t="str">
        <x:f>IF(A137="","",ROUND(SUM(L137:P137)+G137,2))</x:f>
      </x:c>
      <x:c r="R137" s="108" t="str">
        <x:f>IF(A137="","",ROUND(K137-Q137,2))</x:f>
      </x:c>
      <x:c r="S137" s="109" t="str">
        <x:f>IF(OR(A137="",K137=0),"",R137/K137)</x:f>
      </x:c>
      <x:c r="T137" s="110"/>
    </x:row>
    <x:row r="138" ht="23" customHeight="1">
      <x:c r="A138" s="105"/>
      <x:c r="B138" s="106"/>
      <x:c r="C138" s="107"/>
      <x:c r="D138" s="107"/>
      <x:c r="E138" s="106"/>
      <x:c r="F138" s="106"/>
      <x:c r="G138" s="107"/>
      <x:c r="H138" s="107"/>
      <x:c r="I138" s="108" t="str">
        <x:f>IF(OR(C138="",E138=""),"",ROUND(C138*E138,2))</x:f>
      </x:c>
      <x:c r="J138" s="108" t="str">
        <x:f>IF(I138="","",ROUND(I138+D138,2))</x:f>
      </x:c>
      <x:c r="K138" s="108" t="str">
        <x:f>IF(J138="","",MAX(ROUND(J138-H138,2),0))</x:f>
      </x:c>
      <x:c r="L138" s="108" t="str">
        <x:f>IF(A138="","",ROUND(E138*SETTINGS!$B$6,2))</x:f>
      </x:c>
      <x:c r="M138" s="108" t="str">
        <x:f>IF(A138="","",ROUND(K138*SETTINGS!$B$7,2))</x:f>
      </x:c>
      <x:c r="N138" s="108" t="str">
        <x:f>IF(A138="","",IF(K138&gt;0,ROUND(K138*SETTINGS!$B$8+SETTINGS!$B$9,2),0))</x:f>
      </x:c>
      <x:c r="O138" s="108" t="str">
        <x:f>IF(A138="","",IF(F138="Yes",ROUND(MIN(K138*SETTINGS!$B$13,SETTINGS!$B$14),2),0))</x:f>
      </x:c>
      <x:c r="P138" s="108" t="str">
        <x:f>IF(A138="","",ROUND(K138*SETTINGS!$B$15,2))</x:f>
      </x:c>
      <x:c r="Q138" s="108" t="str">
        <x:f>IF(A138="","",ROUND(SUM(L138:P138)+G138,2))</x:f>
      </x:c>
      <x:c r="R138" s="108" t="str">
        <x:f>IF(A138="","",ROUND(K138-Q138,2))</x:f>
      </x:c>
      <x:c r="S138" s="109" t="str">
        <x:f>IF(OR(A138="",K138=0),"",R138/K138)</x:f>
      </x:c>
      <x:c r="T138" s="110"/>
    </x:row>
    <x:row r="139" ht="23" customHeight="1">
      <x:c r="A139" s="105"/>
      <x:c r="B139" s="106"/>
      <x:c r="C139" s="107"/>
      <x:c r="D139" s="107"/>
      <x:c r="E139" s="106"/>
      <x:c r="F139" s="106"/>
      <x:c r="G139" s="107"/>
      <x:c r="H139" s="107"/>
      <x:c r="I139" s="108" t="str">
        <x:f>IF(OR(C139="",E139=""),"",ROUND(C139*E139,2))</x:f>
      </x:c>
      <x:c r="J139" s="108" t="str">
        <x:f>IF(I139="","",ROUND(I139+D139,2))</x:f>
      </x:c>
      <x:c r="K139" s="108" t="str">
        <x:f>IF(J139="","",MAX(ROUND(J139-H139,2),0))</x:f>
      </x:c>
      <x:c r="L139" s="108" t="str">
        <x:f>IF(A139="","",ROUND(E139*SETTINGS!$B$6,2))</x:f>
      </x:c>
      <x:c r="M139" s="108" t="str">
        <x:f>IF(A139="","",ROUND(K139*SETTINGS!$B$7,2))</x:f>
      </x:c>
      <x:c r="N139" s="108" t="str">
        <x:f>IF(A139="","",IF(K139&gt;0,ROUND(K139*SETTINGS!$B$8+SETTINGS!$B$9,2),0))</x:f>
      </x:c>
      <x:c r="O139" s="108" t="str">
        <x:f>IF(A139="","",IF(F139="Yes",ROUND(MIN(K139*SETTINGS!$B$13,SETTINGS!$B$14),2),0))</x:f>
      </x:c>
      <x:c r="P139" s="108" t="str">
        <x:f>IF(A139="","",ROUND(K139*SETTINGS!$B$15,2))</x:f>
      </x:c>
      <x:c r="Q139" s="108" t="str">
        <x:f>IF(A139="","",ROUND(SUM(L139:P139)+G139,2))</x:f>
      </x:c>
      <x:c r="R139" s="108" t="str">
        <x:f>IF(A139="","",ROUND(K139-Q139,2))</x:f>
      </x:c>
      <x:c r="S139" s="109" t="str">
        <x:f>IF(OR(A139="",K139=0),"",R139/K139)</x:f>
      </x:c>
      <x:c r="T139" s="110"/>
    </x:row>
    <x:row r="140" ht="23" customHeight="1">
      <x:c r="A140" s="105"/>
      <x:c r="B140" s="106"/>
      <x:c r="C140" s="107"/>
      <x:c r="D140" s="107"/>
      <x:c r="E140" s="106"/>
      <x:c r="F140" s="106"/>
      <x:c r="G140" s="107"/>
      <x:c r="H140" s="107"/>
      <x:c r="I140" s="108" t="str">
        <x:f>IF(OR(C140="",E140=""),"",ROUND(C140*E140,2))</x:f>
      </x:c>
      <x:c r="J140" s="108" t="str">
        <x:f>IF(I140="","",ROUND(I140+D140,2))</x:f>
      </x:c>
      <x:c r="K140" s="108" t="str">
        <x:f>IF(J140="","",MAX(ROUND(J140-H140,2),0))</x:f>
      </x:c>
      <x:c r="L140" s="108" t="str">
        <x:f>IF(A140="","",ROUND(E140*SETTINGS!$B$6,2))</x:f>
      </x:c>
      <x:c r="M140" s="108" t="str">
        <x:f>IF(A140="","",ROUND(K140*SETTINGS!$B$7,2))</x:f>
      </x:c>
      <x:c r="N140" s="108" t="str">
        <x:f>IF(A140="","",IF(K140&gt;0,ROUND(K140*SETTINGS!$B$8+SETTINGS!$B$9,2),0))</x:f>
      </x:c>
      <x:c r="O140" s="108" t="str">
        <x:f>IF(A140="","",IF(F140="Yes",ROUND(MIN(K140*SETTINGS!$B$13,SETTINGS!$B$14),2),0))</x:f>
      </x:c>
      <x:c r="P140" s="108" t="str">
        <x:f>IF(A140="","",ROUND(K140*SETTINGS!$B$15,2))</x:f>
      </x:c>
      <x:c r="Q140" s="108" t="str">
        <x:f>IF(A140="","",ROUND(SUM(L140:P140)+G140,2))</x:f>
      </x:c>
      <x:c r="R140" s="108" t="str">
        <x:f>IF(A140="","",ROUND(K140-Q140,2))</x:f>
      </x:c>
      <x:c r="S140" s="109" t="str">
        <x:f>IF(OR(A140="",K140=0),"",R140/K140)</x:f>
      </x:c>
      <x:c r="T140" s="110"/>
    </x:row>
    <x:row r="141" ht="23" customHeight="1">
      <x:c r="A141" s="105"/>
      <x:c r="B141" s="106"/>
      <x:c r="C141" s="107"/>
      <x:c r="D141" s="107"/>
      <x:c r="E141" s="106"/>
      <x:c r="F141" s="106"/>
      <x:c r="G141" s="107"/>
      <x:c r="H141" s="107"/>
      <x:c r="I141" s="108" t="str">
        <x:f>IF(OR(C141="",E141=""),"",ROUND(C141*E141,2))</x:f>
      </x:c>
      <x:c r="J141" s="108" t="str">
        <x:f>IF(I141="","",ROUND(I141+D141,2))</x:f>
      </x:c>
      <x:c r="K141" s="108" t="str">
        <x:f>IF(J141="","",MAX(ROUND(J141-H141,2),0))</x:f>
      </x:c>
      <x:c r="L141" s="108" t="str">
        <x:f>IF(A141="","",ROUND(E141*SETTINGS!$B$6,2))</x:f>
      </x:c>
      <x:c r="M141" s="108" t="str">
        <x:f>IF(A141="","",ROUND(K141*SETTINGS!$B$7,2))</x:f>
      </x:c>
      <x:c r="N141" s="108" t="str">
        <x:f>IF(A141="","",IF(K141&gt;0,ROUND(K141*SETTINGS!$B$8+SETTINGS!$B$9,2),0))</x:f>
      </x:c>
      <x:c r="O141" s="108" t="str">
        <x:f>IF(A141="","",IF(F141="Yes",ROUND(MIN(K141*SETTINGS!$B$13,SETTINGS!$B$14),2),0))</x:f>
      </x:c>
      <x:c r="P141" s="108" t="str">
        <x:f>IF(A141="","",ROUND(K141*SETTINGS!$B$15,2))</x:f>
      </x:c>
      <x:c r="Q141" s="108" t="str">
        <x:f>IF(A141="","",ROUND(SUM(L141:P141)+G141,2))</x:f>
      </x:c>
      <x:c r="R141" s="108" t="str">
        <x:f>IF(A141="","",ROUND(K141-Q141,2))</x:f>
      </x:c>
      <x:c r="S141" s="109" t="str">
        <x:f>IF(OR(A141="",K141=0),"",R141/K141)</x:f>
      </x:c>
      <x:c r="T141" s="110"/>
    </x:row>
    <x:row r="142" ht="23" customHeight="1">
      <x:c r="A142" s="105"/>
      <x:c r="B142" s="106"/>
      <x:c r="C142" s="107"/>
      <x:c r="D142" s="107"/>
      <x:c r="E142" s="106"/>
      <x:c r="F142" s="106"/>
      <x:c r="G142" s="107"/>
      <x:c r="H142" s="107"/>
      <x:c r="I142" s="108" t="str">
        <x:f>IF(OR(C142="",E142=""),"",ROUND(C142*E142,2))</x:f>
      </x:c>
      <x:c r="J142" s="108" t="str">
        <x:f>IF(I142="","",ROUND(I142+D142,2))</x:f>
      </x:c>
      <x:c r="K142" s="108" t="str">
        <x:f>IF(J142="","",MAX(ROUND(J142-H142,2),0))</x:f>
      </x:c>
      <x:c r="L142" s="108" t="str">
        <x:f>IF(A142="","",ROUND(E142*SETTINGS!$B$6,2))</x:f>
      </x:c>
      <x:c r="M142" s="108" t="str">
        <x:f>IF(A142="","",ROUND(K142*SETTINGS!$B$7,2))</x:f>
      </x:c>
      <x:c r="N142" s="108" t="str">
        <x:f>IF(A142="","",IF(K142&gt;0,ROUND(K142*SETTINGS!$B$8+SETTINGS!$B$9,2),0))</x:f>
      </x:c>
      <x:c r="O142" s="108" t="str">
        <x:f>IF(A142="","",IF(F142="Yes",ROUND(MIN(K142*SETTINGS!$B$13,SETTINGS!$B$14),2),0))</x:f>
      </x:c>
      <x:c r="P142" s="108" t="str">
        <x:f>IF(A142="","",ROUND(K142*SETTINGS!$B$15,2))</x:f>
      </x:c>
      <x:c r="Q142" s="108" t="str">
        <x:f>IF(A142="","",ROUND(SUM(L142:P142)+G142,2))</x:f>
      </x:c>
      <x:c r="R142" s="108" t="str">
        <x:f>IF(A142="","",ROUND(K142-Q142,2))</x:f>
      </x:c>
      <x:c r="S142" s="109" t="str">
        <x:f>IF(OR(A142="",K142=0),"",R142/K142)</x:f>
      </x:c>
      <x:c r="T142" s="110"/>
    </x:row>
    <x:row r="143" ht="23" customHeight="1">
      <x:c r="A143" s="105"/>
      <x:c r="B143" s="106"/>
      <x:c r="C143" s="107"/>
      <x:c r="D143" s="107"/>
      <x:c r="E143" s="106"/>
      <x:c r="F143" s="106"/>
      <x:c r="G143" s="107"/>
      <x:c r="H143" s="107"/>
      <x:c r="I143" s="108" t="str">
        <x:f>IF(OR(C143="",E143=""),"",ROUND(C143*E143,2))</x:f>
      </x:c>
      <x:c r="J143" s="108" t="str">
        <x:f>IF(I143="","",ROUND(I143+D143,2))</x:f>
      </x:c>
      <x:c r="K143" s="108" t="str">
        <x:f>IF(J143="","",MAX(ROUND(J143-H143,2),0))</x:f>
      </x:c>
      <x:c r="L143" s="108" t="str">
        <x:f>IF(A143="","",ROUND(E143*SETTINGS!$B$6,2))</x:f>
      </x:c>
      <x:c r="M143" s="108" t="str">
        <x:f>IF(A143="","",ROUND(K143*SETTINGS!$B$7,2))</x:f>
      </x:c>
      <x:c r="N143" s="108" t="str">
        <x:f>IF(A143="","",IF(K143&gt;0,ROUND(K143*SETTINGS!$B$8+SETTINGS!$B$9,2),0))</x:f>
      </x:c>
      <x:c r="O143" s="108" t="str">
        <x:f>IF(A143="","",IF(F143="Yes",ROUND(MIN(K143*SETTINGS!$B$13,SETTINGS!$B$14),2),0))</x:f>
      </x:c>
      <x:c r="P143" s="108" t="str">
        <x:f>IF(A143="","",ROUND(K143*SETTINGS!$B$15,2))</x:f>
      </x:c>
      <x:c r="Q143" s="108" t="str">
        <x:f>IF(A143="","",ROUND(SUM(L143:P143)+G143,2))</x:f>
      </x:c>
      <x:c r="R143" s="108" t="str">
        <x:f>IF(A143="","",ROUND(K143-Q143,2))</x:f>
      </x:c>
      <x:c r="S143" s="109" t="str">
        <x:f>IF(OR(A143="",K143=0),"",R143/K143)</x:f>
      </x:c>
      <x:c r="T143" s="110"/>
    </x:row>
    <x:row r="144" ht="23" customHeight="1">
      <x:c r="A144" s="105"/>
      <x:c r="B144" s="106"/>
      <x:c r="C144" s="107"/>
      <x:c r="D144" s="107"/>
      <x:c r="E144" s="106"/>
      <x:c r="F144" s="106"/>
      <x:c r="G144" s="107"/>
      <x:c r="H144" s="107"/>
      <x:c r="I144" s="108" t="str">
        <x:f>IF(OR(C144="",E144=""),"",ROUND(C144*E144,2))</x:f>
      </x:c>
      <x:c r="J144" s="108" t="str">
        <x:f>IF(I144="","",ROUND(I144+D144,2))</x:f>
      </x:c>
      <x:c r="K144" s="108" t="str">
        <x:f>IF(J144="","",MAX(ROUND(J144-H144,2),0))</x:f>
      </x:c>
      <x:c r="L144" s="108" t="str">
        <x:f>IF(A144="","",ROUND(E144*SETTINGS!$B$6,2))</x:f>
      </x:c>
      <x:c r="M144" s="108" t="str">
        <x:f>IF(A144="","",ROUND(K144*SETTINGS!$B$7,2))</x:f>
      </x:c>
      <x:c r="N144" s="108" t="str">
        <x:f>IF(A144="","",IF(K144&gt;0,ROUND(K144*SETTINGS!$B$8+SETTINGS!$B$9,2),0))</x:f>
      </x:c>
      <x:c r="O144" s="108" t="str">
        <x:f>IF(A144="","",IF(F144="Yes",ROUND(MIN(K144*SETTINGS!$B$13,SETTINGS!$B$14),2),0))</x:f>
      </x:c>
      <x:c r="P144" s="108" t="str">
        <x:f>IF(A144="","",ROUND(K144*SETTINGS!$B$15,2))</x:f>
      </x:c>
      <x:c r="Q144" s="108" t="str">
        <x:f>IF(A144="","",ROUND(SUM(L144:P144)+G144,2))</x:f>
      </x:c>
      <x:c r="R144" s="108" t="str">
        <x:f>IF(A144="","",ROUND(K144-Q144,2))</x:f>
      </x:c>
      <x:c r="S144" s="109" t="str">
        <x:f>IF(OR(A144="",K144=0),"",R144/K144)</x:f>
      </x:c>
      <x:c r="T144" s="110"/>
    </x:row>
    <x:row r="145" ht="23" customHeight="1">
      <x:c r="A145" s="105"/>
      <x:c r="B145" s="106"/>
      <x:c r="C145" s="107"/>
      <x:c r="D145" s="107"/>
      <x:c r="E145" s="106"/>
      <x:c r="F145" s="106"/>
      <x:c r="G145" s="107"/>
      <x:c r="H145" s="107"/>
      <x:c r="I145" s="108" t="str">
        <x:f>IF(OR(C145="",E145=""),"",ROUND(C145*E145,2))</x:f>
      </x:c>
      <x:c r="J145" s="108" t="str">
        <x:f>IF(I145="","",ROUND(I145+D145,2))</x:f>
      </x:c>
      <x:c r="K145" s="108" t="str">
        <x:f>IF(J145="","",MAX(ROUND(J145-H145,2),0))</x:f>
      </x:c>
      <x:c r="L145" s="108" t="str">
        <x:f>IF(A145="","",ROUND(E145*SETTINGS!$B$6,2))</x:f>
      </x:c>
      <x:c r="M145" s="108" t="str">
        <x:f>IF(A145="","",ROUND(K145*SETTINGS!$B$7,2))</x:f>
      </x:c>
      <x:c r="N145" s="108" t="str">
        <x:f>IF(A145="","",IF(K145&gt;0,ROUND(K145*SETTINGS!$B$8+SETTINGS!$B$9,2),0))</x:f>
      </x:c>
      <x:c r="O145" s="108" t="str">
        <x:f>IF(A145="","",IF(F145="Yes",ROUND(MIN(K145*SETTINGS!$B$13,SETTINGS!$B$14),2),0))</x:f>
      </x:c>
      <x:c r="P145" s="108" t="str">
        <x:f>IF(A145="","",ROUND(K145*SETTINGS!$B$15,2))</x:f>
      </x:c>
      <x:c r="Q145" s="108" t="str">
        <x:f>IF(A145="","",ROUND(SUM(L145:P145)+G145,2))</x:f>
      </x:c>
      <x:c r="R145" s="108" t="str">
        <x:f>IF(A145="","",ROUND(K145-Q145,2))</x:f>
      </x:c>
      <x:c r="S145" s="109" t="str">
        <x:f>IF(OR(A145="",K145=0),"",R145/K145)</x:f>
      </x:c>
      <x:c r="T145" s="110"/>
    </x:row>
    <x:row r="146" ht="23" customHeight="1">
      <x:c r="A146" s="105"/>
      <x:c r="B146" s="106"/>
      <x:c r="C146" s="107"/>
      <x:c r="D146" s="107"/>
      <x:c r="E146" s="106"/>
      <x:c r="F146" s="106"/>
      <x:c r="G146" s="107"/>
      <x:c r="H146" s="107"/>
      <x:c r="I146" s="108" t="str">
        <x:f>IF(OR(C146="",E146=""),"",ROUND(C146*E146,2))</x:f>
      </x:c>
      <x:c r="J146" s="108" t="str">
        <x:f>IF(I146="","",ROUND(I146+D146,2))</x:f>
      </x:c>
      <x:c r="K146" s="108" t="str">
        <x:f>IF(J146="","",MAX(ROUND(J146-H146,2),0))</x:f>
      </x:c>
      <x:c r="L146" s="108" t="str">
        <x:f>IF(A146="","",ROUND(E146*SETTINGS!$B$6,2))</x:f>
      </x:c>
      <x:c r="M146" s="108" t="str">
        <x:f>IF(A146="","",ROUND(K146*SETTINGS!$B$7,2))</x:f>
      </x:c>
      <x:c r="N146" s="108" t="str">
        <x:f>IF(A146="","",IF(K146&gt;0,ROUND(K146*SETTINGS!$B$8+SETTINGS!$B$9,2),0))</x:f>
      </x:c>
      <x:c r="O146" s="108" t="str">
        <x:f>IF(A146="","",IF(F146="Yes",ROUND(MIN(K146*SETTINGS!$B$13,SETTINGS!$B$14),2),0))</x:f>
      </x:c>
      <x:c r="P146" s="108" t="str">
        <x:f>IF(A146="","",ROUND(K146*SETTINGS!$B$15,2))</x:f>
      </x:c>
      <x:c r="Q146" s="108" t="str">
        <x:f>IF(A146="","",ROUND(SUM(L146:P146)+G146,2))</x:f>
      </x:c>
      <x:c r="R146" s="108" t="str">
        <x:f>IF(A146="","",ROUND(K146-Q146,2))</x:f>
      </x:c>
      <x:c r="S146" s="109" t="str">
        <x:f>IF(OR(A146="",K146=0),"",R146/K146)</x:f>
      </x:c>
      <x:c r="T146" s="110"/>
    </x:row>
    <x:row r="147" ht="23" customHeight="1">
      <x:c r="A147" s="105"/>
      <x:c r="B147" s="106"/>
      <x:c r="C147" s="107"/>
      <x:c r="D147" s="107"/>
      <x:c r="E147" s="106"/>
      <x:c r="F147" s="106"/>
      <x:c r="G147" s="107"/>
      <x:c r="H147" s="107"/>
      <x:c r="I147" s="108" t="str">
        <x:f>IF(OR(C147="",E147=""),"",ROUND(C147*E147,2))</x:f>
      </x:c>
      <x:c r="J147" s="108" t="str">
        <x:f>IF(I147="","",ROUND(I147+D147,2))</x:f>
      </x:c>
      <x:c r="K147" s="108" t="str">
        <x:f>IF(J147="","",MAX(ROUND(J147-H147,2),0))</x:f>
      </x:c>
      <x:c r="L147" s="108" t="str">
        <x:f>IF(A147="","",ROUND(E147*SETTINGS!$B$6,2))</x:f>
      </x:c>
      <x:c r="M147" s="108" t="str">
        <x:f>IF(A147="","",ROUND(K147*SETTINGS!$B$7,2))</x:f>
      </x:c>
      <x:c r="N147" s="108" t="str">
        <x:f>IF(A147="","",IF(K147&gt;0,ROUND(K147*SETTINGS!$B$8+SETTINGS!$B$9,2),0))</x:f>
      </x:c>
      <x:c r="O147" s="108" t="str">
        <x:f>IF(A147="","",IF(F147="Yes",ROUND(MIN(K147*SETTINGS!$B$13,SETTINGS!$B$14),2),0))</x:f>
      </x:c>
      <x:c r="P147" s="108" t="str">
        <x:f>IF(A147="","",ROUND(K147*SETTINGS!$B$15,2))</x:f>
      </x:c>
      <x:c r="Q147" s="108" t="str">
        <x:f>IF(A147="","",ROUND(SUM(L147:P147)+G147,2))</x:f>
      </x:c>
      <x:c r="R147" s="108" t="str">
        <x:f>IF(A147="","",ROUND(K147-Q147,2))</x:f>
      </x:c>
      <x:c r="S147" s="109" t="str">
        <x:f>IF(OR(A147="",K147=0),"",R147/K147)</x:f>
      </x:c>
      <x:c r="T147" s="110"/>
    </x:row>
    <x:row r="148" ht="23" customHeight="1">
      <x:c r="A148" s="105"/>
      <x:c r="B148" s="106"/>
      <x:c r="C148" s="107"/>
      <x:c r="D148" s="107"/>
      <x:c r="E148" s="106"/>
      <x:c r="F148" s="106"/>
      <x:c r="G148" s="107"/>
      <x:c r="H148" s="107"/>
      <x:c r="I148" s="108" t="str">
        <x:f>IF(OR(C148="",E148=""),"",ROUND(C148*E148,2))</x:f>
      </x:c>
      <x:c r="J148" s="108" t="str">
        <x:f>IF(I148="","",ROUND(I148+D148,2))</x:f>
      </x:c>
      <x:c r="K148" s="108" t="str">
        <x:f>IF(J148="","",MAX(ROUND(J148-H148,2),0))</x:f>
      </x:c>
      <x:c r="L148" s="108" t="str">
        <x:f>IF(A148="","",ROUND(E148*SETTINGS!$B$6,2))</x:f>
      </x:c>
      <x:c r="M148" s="108" t="str">
        <x:f>IF(A148="","",ROUND(K148*SETTINGS!$B$7,2))</x:f>
      </x:c>
      <x:c r="N148" s="108" t="str">
        <x:f>IF(A148="","",IF(K148&gt;0,ROUND(K148*SETTINGS!$B$8+SETTINGS!$B$9,2),0))</x:f>
      </x:c>
      <x:c r="O148" s="108" t="str">
        <x:f>IF(A148="","",IF(F148="Yes",ROUND(MIN(K148*SETTINGS!$B$13,SETTINGS!$B$14),2),0))</x:f>
      </x:c>
      <x:c r="P148" s="108" t="str">
        <x:f>IF(A148="","",ROUND(K148*SETTINGS!$B$15,2))</x:f>
      </x:c>
      <x:c r="Q148" s="108" t="str">
        <x:f>IF(A148="","",ROUND(SUM(L148:P148)+G148,2))</x:f>
      </x:c>
      <x:c r="R148" s="108" t="str">
        <x:f>IF(A148="","",ROUND(K148-Q148,2))</x:f>
      </x:c>
      <x:c r="S148" s="109" t="str">
        <x:f>IF(OR(A148="",K148=0),"",R148/K148)</x:f>
      </x:c>
      <x:c r="T148" s="110"/>
    </x:row>
    <x:row r="149" ht="23" customHeight="1">
      <x:c r="A149" s="105"/>
      <x:c r="B149" s="106"/>
      <x:c r="C149" s="107"/>
      <x:c r="D149" s="107"/>
      <x:c r="E149" s="106"/>
      <x:c r="F149" s="106"/>
      <x:c r="G149" s="107"/>
      <x:c r="H149" s="107"/>
      <x:c r="I149" s="108" t="str">
        <x:f>IF(OR(C149="",E149=""),"",ROUND(C149*E149,2))</x:f>
      </x:c>
      <x:c r="J149" s="108" t="str">
        <x:f>IF(I149="","",ROUND(I149+D149,2))</x:f>
      </x:c>
      <x:c r="K149" s="108" t="str">
        <x:f>IF(J149="","",MAX(ROUND(J149-H149,2),0))</x:f>
      </x:c>
      <x:c r="L149" s="108" t="str">
        <x:f>IF(A149="","",ROUND(E149*SETTINGS!$B$6,2))</x:f>
      </x:c>
      <x:c r="M149" s="108" t="str">
        <x:f>IF(A149="","",ROUND(K149*SETTINGS!$B$7,2))</x:f>
      </x:c>
      <x:c r="N149" s="108" t="str">
        <x:f>IF(A149="","",IF(K149&gt;0,ROUND(K149*SETTINGS!$B$8+SETTINGS!$B$9,2),0))</x:f>
      </x:c>
      <x:c r="O149" s="108" t="str">
        <x:f>IF(A149="","",IF(F149="Yes",ROUND(MIN(K149*SETTINGS!$B$13,SETTINGS!$B$14),2),0))</x:f>
      </x:c>
      <x:c r="P149" s="108" t="str">
        <x:f>IF(A149="","",ROUND(K149*SETTINGS!$B$15,2))</x:f>
      </x:c>
      <x:c r="Q149" s="108" t="str">
        <x:f>IF(A149="","",ROUND(SUM(L149:P149)+G149,2))</x:f>
      </x:c>
      <x:c r="R149" s="108" t="str">
        <x:f>IF(A149="","",ROUND(K149-Q149,2))</x:f>
      </x:c>
      <x:c r="S149" s="109" t="str">
        <x:f>IF(OR(A149="",K149=0),"",R149/K149)</x:f>
      </x:c>
      <x:c r="T149" s="110"/>
    </x:row>
    <x:row r="150" ht="23" customHeight="1">
      <x:c r="A150" s="105"/>
      <x:c r="B150" s="106"/>
      <x:c r="C150" s="107"/>
      <x:c r="D150" s="107"/>
      <x:c r="E150" s="106"/>
      <x:c r="F150" s="106"/>
      <x:c r="G150" s="107"/>
      <x:c r="H150" s="107"/>
      <x:c r="I150" s="108" t="str">
        <x:f>IF(OR(C150="",E150=""),"",ROUND(C150*E150,2))</x:f>
      </x:c>
      <x:c r="J150" s="108" t="str">
        <x:f>IF(I150="","",ROUND(I150+D150,2))</x:f>
      </x:c>
      <x:c r="K150" s="108" t="str">
        <x:f>IF(J150="","",MAX(ROUND(J150-H150,2),0))</x:f>
      </x:c>
      <x:c r="L150" s="108" t="str">
        <x:f>IF(A150="","",ROUND(E150*SETTINGS!$B$6,2))</x:f>
      </x:c>
      <x:c r="M150" s="108" t="str">
        <x:f>IF(A150="","",ROUND(K150*SETTINGS!$B$7,2))</x:f>
      </x:c>
      <x:c r="N150" s="108" t="str">
        <x:f>IF(A150="","",IF(K150&gt;0,ROUND(K150*SETTINGS!$B$8+SETTINGS!$B$9,2),0))</x:f>
      </x:c>
      <x:c r="O150" s="108" t="str">
        <x:f>IF(A150="","",IF(F150="Yes",ROUND(MIN(K150*SETTINGS!$B$13,SETTINGS!$B$14),2),0))</x:f>
      </x:c>
      <x:c r="P150" s="108" t="str">
        <x:f>IF(A150="","",ROUND(K150*SETTINGS!$B$15,2))</x:f>
      </x:c>
      <x:c r="Q150" s="108" t="str">
        <x:f>IF(A150="","",ROUND(SUM(L150:P150)+G150,2))</x:f>
      </x:c>
      <x:c r="R150" s="108" t="str">
        <x:f>IF(A150="","",ROUND(K150-Q150,2))</x:f>
      </x:c>
      <x:c r="S150" s="109" t="str">
        <x:f>IF(OR(A150="",K150=0),"",R150/K150)</x:f>
      </x:c>
      <x:c r="T150" s="110"/>
    </x:row>
    <x:row r="151" ht="23" customHeight="1">
      <x:c r="A151" s="105"/>
      <x:c r="B151" s="106"/>
      <x:c r="C151" s="107"/>
      <x:c r="D151" s="107"/>
      <x:c r="E151" s="106"/>
      <x:c r="F151" s="106"/>
      <x:c r="G151" s="107"/>
      <x:c r="H151" s="107"/>
      <x:c r="I151" s="108" t="str">
        <x:f>IF(OR(C151="",E151=""),"",ROUND(C151*E151,2))</x:f>
      </x:c>
      <x:c r="J151" s="108" t="str">
        <x:f>IF(I151="","",ROUND(I151+D151,2))</x:f>
      </x:c>
      <x:c r="K151" s="108" t="str">
        <x:f>IF(J151="","",MAX(ROUND(J151-H151,2),0))</x:f>
      </x:c>
      <x:c r="L151" s="108" t="str">
        <x:f>IF(A151="","",ROUND(E151*SETTINGS!$B$6,2))</x:f>
      </x:c>
      <x:c r="M151" s="108" t="str">
        <x:f>IF(A151="","",ROUND(K151*SETTINGS!$B$7,2))</x:f>
      </x:c>
      <x:c r="N151" s="108" t="str">
        <x:f>IF(A151="","",IF(K151&gt;0,ROUND(K151*SETTINGS!$B$8+SETTINGS!$B$9,2),0))</x:f>
      </x:c>
      <x:c r="O151" s="108" t="str">
        <x:f>IF(A151="","",IF(F151="Yes",ROUND(MIN(K151*SETTINGS!$B$13,SETTINGS!$B$14),2),0))</x:f>
      </x:c>
      <x:c r="P151" s="108" t="str">
        <x:f>IF(A151="","",ROUND(K151*SETTINGS!$B$15,2))</x:f>
      </x:c>
      <x:c r="Q151" s="108" t="str">
        <x:f>IF(A151="","",ROUND(SUM(L151:P151)+G151,2))</x:f>
      </x:c>
      <x:c r="R151" s="108" t="str">
        <x:f>IF(A151="","",ROUND(K151-Q151,2))</x:f>
      </x:c>
      <x:c r="S151" s="109" t="str">
        <x:f>IF(OR(A151="",K151=0),"",R151/K151)</x:f>
      </x:c>
      <x:c r="T151" s="110"/>
    </x:row>
    <x:row r="152" ht="23" customHeight="1">
      <x:c r="A152" s="105"/>
      <x:c r="B152" s="106"/>
      <x:c r="C152" s="107"/>
      <x:c r="D152" s="107"/>
      <x:c r="E152" s="106"/>
      <x:c r="F152" s="106"/>
      <x:c r="G152" s="107"/>
      <x:c r="H152" s="107"/>
      <x:c r="I152" s="108" t="str">
        <x:f>IF(OR(C152="",E152=""),"",ROUND(C152*E152,2))</x:f>
      </x:c>
      <x:c r="J152" s="108" t="str">
        <x:f>IF(I152="","",ROUND(I152+D152,2))</x:f>
      </x:c>
      <x:c r="K152" s="108" t="str">
        <x:f>IF(J152="","",MAX(ROUND(J152-H152,2),0))</x:f>
      </x:c>
      <x:c r="L152" s="108" t="str">
        <x:f>IF(A152="","",ROUND(E152*SETTINGS!$B$6,2))</x:f>
      </x:c>
      <x:c r="M152" s="108" t="str">
        <x:f>IF(A152="","",ROUND(K152*SETTINGS!$B$7,2))</x:f>
      </x:c>
      <x:c r="N152" s="108" t="str">
        <x:f>IF(A152="","",IF(K152&gt;0,ROUND(K152*SETTINGS!$B$8+SETTINGS!$B$9,2),0))</x:f>
      </x:c>
      <x:c r="O152" s="108" t="str">
        <x:f>IF(A152="","",IF(F152="Yes",ROUND(MIN(K152*SETTINGS!$B$13,SETTINGS!$B$14),2),0))</x:f>
      </x:c>
      <x:c r="P152" s="108" t="str">
        <x:f>IF(A152="","",ROUND(K152*SETTINGS!$B$15,2))</x:f>
      </x:c>
      <x:c r="Q152" s="108" t="str">
        <x:f>IF(A152="","",ROUND(SUM(L152:P152)+G152,2))</x:f>
      </x:c>
      <x:c r="R152" s="108" t="str">
        <x:f>IF(A152="","",ROUND(K152-Q152,2))</x:f>
      </x:c>
      <x:c r="S152" s="109" t="str">
        <x:f>IF(OR(A152="",K152=0),"",R152/K152)</x:f>
      </x:c>
      <x:c r="T152" s="110"/>
    </x:row>
    <x:row r="153" ht="23" customHeight="1">
      <x:c r="A153" s="105"/>
      <x:c r="B153" s="106"/>
      <x:c r="C153" s="107"/>
      <x:c r="D153" s="107"/>
      <x:c r="E153" s="106"/>
      <x:c r="F153" s="106"/>
      <x:c r="G153" s="107"/>
      <x:c r="H153" s="107"/>
      <x:c r="I153" s="108" t="str">
        <x:f>IF(OR(C153="",E153=""),"",ROUND(C153*E153,2))</x:f>
      </x:c>
      <x:c r="J153" s="108" t="str">
        <x:f>IF(I153="","",ROUND(I153+D153,2))</x:f>
      </x:c>
      <x:c r="K153" s="108" t="str">
        <x:f>IF(J153="","",MAX(ROUND(J153-H153,2),0))</x:f>
      </x:c>
      <x:c r="L153" s="108" t="str">
        <x:f>IF(A153="","",ROUND(E153*SETTINGS!$B$6,2))</x:f>
      </x:c>
      <x:c r="M153" s="108" t="str">
        <x:f>IF(A153="","",ROUND(K153*SETTINGS!$B$7,2))</x:f>
      </x:c>
      <x:c r="N153" s="108" t="str">
        <x:f>IF(A153="","",IF(K153&gt;0,ROUND(K153*SETTINGS!$B$8+SETTINGS!$B$9,2),0))</x:f>
      </x:c>
      <x:c r="O153" s="108" t="str">
        <x:f>IF(A153="","",IF(F153="Yes",ROUND(MIN(K153*SETTINGS!$B$13,SETTINGS!$B$14),2),0))</x:f>
      </x:c>
      <x:c r="P153" s="108" t="str">
        <x:f>IF(A153="","",ROUND(K153*SETTINGS!$B$15,2))</x:f>
      </x:c>
      <x:c r="Q153" s="108" t="str">
        <x:f>IF(A153="","",ROUND(SUM(L153:P153)+G153,2))</x:f>
      </x:c>
      <x:c r="R153" s="108" t="str">
        <x:f>IF(A153="","",ROUND(K153-Q153,2))</x:f>
      </x:c>
      <x:c r="S153" s="109" t="str">
        <x:f>IF(OR(A153="",K153=0),"",R153/K153)</x:f>
      </x:c>
      <x:c r="T153" s="110"/>
    </x:row>
    <x:row r="154" ht="23" customHeight="1">
      <x:c r="A154" s="105"/>
      <x:c r="B154" s="106"/>
      <x:c r="C154" s="107"/>
      <x:c r="D154" s="107"/>
      <x:c r="E154" s="106"/>
      <x:c r="F154" s="106"/>
      <x:c r="G154" s="107"/>
      <x:c r="H154" s="107"/>
      <x:c r="I154" s="108" t="str">
        <x:f>IF(OR(C154="",E154=""),"",ROUND(C154*E154,2))</x:f>
      </x:c>
      <x:c r="J154" s="108" t="str">
        <x:f>IF(I154="","",ROUND(I154+D154,2))</x:f>
      </x:c>
      <x:c r="K154" s="108" t="str">
        <x:f>IF(J154="","",MAX(ROUND(J154-H154,2),0))</x:f>
      </x:c>
      <x:c r="L154" s="108" t="str">
        <x:f>IF(A154="","",ROUND(E154*SETTINGS!$B$6,2))</x:f>
      </x:c>
      <x:c r="M154" s="108" t="str">
        <x:f>IF(A154="","",ROUND(K154*SETTINGS!$B$7,2))</x:f>
      </x:c>
      <x:c r="N154" s="108" t="str">
        <x:f>IF(A154="","",IF(K154&gt;0,ROUND(K154*SETTINGS!$B$8+SETTINGS!$B$9,2),0))</x:f>
      </x:c>
      <x:c r="O154" s="108" t="str">
        <x:f>IF(A154="","",IF(F154="Yes",ROUND(MIN(K154*SETTINGS!$B$13,SETTINGS!$B$14),2),0))</x:f>
      </x:c>
      <x:c r="P154" s="108" t="str">
        <x:f>IF(A154="","",ROUND(K154*SETTINGS!$B$15,2))</x:f>
      </x:c>
      <x:c r="Q154" s="108" t="str">
        <x:f>IF(A154="","",ROUND(SUM(L154:P154)+G154,2))</x:f>
      </x:c>
      <x:c r="R154" s="108" t="str">
        <x:f>IF(A154="","",ROUND(K154-Q154,2))</x:f>
      </x:c>
      <x:c r="S154" s="109" t="str">
        <x:f>IF(OR(A154="",K154=0),"",R154/K154)</x:f>
      </x:c>
      <x:c r="T154" s="110"/>
    </x:row>
    <x:row r="155" ht="23" customHeight="1">
      <x:c r="A155" s="105"/>
      <x:c r="B155" s="106"/>
      <x:c r="C155" s="107"/>
      <x:c r="D155" s="107"/>
      <x:c r="E155" s="106"/>
      <x:c r="F155" s="106"/>
      <x:c r="G155" s="107"/>
      <x:c r="H155" s="107"/>
      <x:c r="I155" s="108" t="str">
        <x:f>IF(OR(C155="",E155=""),"",ROUND(C155*E155,2))</x:f>
      </x:c>
      <x:c r="J155" s="108" t="str">
        <x:f>IF(I155="","",ROUND(I155+D155,2))</x:f>
      </x:c>
      <x:c r="K155" s="108" t="str">
        <x:f>IF(J155="","",MAX(ROUND(J155-H155,2),0))</x:f>
      </x:c>
      <x:c r="L155" s="108" t="str">
        <x:f>IF(A155="","",ROUND(E155*SETTINGS!$B$6,2))</x:f>
      </x:c>
      <x:c r="M155" s="108" t="str">
        <x:f>IF(A155="","",ROUND(K155*SETTINGS!$B$7,2))</x:f>
      </x:c>
      <x:c r="N155" s="108" t="str">
        <x:f>IF(A155="","",IF(K155&gt;0,ROUND(K155*SETTINGS!$B$8+SETTINGS!$B$9,2),0))</x:f>
      </x:c>
      <x:c r="O155" s="108" t="str">
        <x:f>IF(A155="","",IF(F155="Yes",ROUND(MIN(K155*SETTINGS!$B$13,SETTINGS!$B$14),2),0))</x:f>
      </x:c>
      <x:c r="P155" s="108" t="str">
        <x:f>IF(A155="","",ROUND(K155*SETTINGS!$B$15,2))</x:f>
      </x:c>
      <x:c r="Q155" s="108" t="str">
        <x:f>IF(A155="","",ROUND(SUM(L155:P155)+G155,2))</x:f>
      </x:c>
      <x:c r="R155" s="108" t="str">
        <x:f>IF(A155="","",ROUND(K155-Q155,2))</x:f>
      </x:c>
      <x:c r="S155" s="109" t="str">
        <x:f>IF(OR(A155="",K155=0),"",R155/K155)</x:f>
      </x:c>
      <x:c r="T155" s="110"/>
    </x:row>
    <x:row r="156" ht="23" customHeight="1">
      <x:c r="A156" s="105"/>
      <x:c r="B156" s="106"/>
      <x:c r="C156" s="107"/>
      <x:c r="D156" s="107"/>
      <x:c r="E156" s="106"/>
      <x:c r="F156" s="106"/>
      <x:c r="G156" s="107"/>
      <x:c r="H156" s="107"/>
      <x:c r="I156" s="108" t="str">
        <x:f>IF(OR(C156="",E156=""),"",ROUND(C156*E156,2))</x:f>
      </x:c>
      <x:c r="J156" s="108" t="str">
        <x:f>IF(I156="","",ROUND(I156+D156,2))</x:f>
      </x:c>
      <x:c r="K156" s="108" t="str">
        <x:f>IF(J156="","",MAX(ROUND(J156-H156,2),0))</x:f>
      </x:c>
      <x:c r="L156" s="108" t="str">
        <x:f>IF(A156="","",ROUND(E156*SETTINGS!$B$6,2))</x:f>
      </x:c>
      <x:c r="M156" s="108" t="str">
        <x:f>IF(A156="","",ROUND(K156*SETTINGS!$B$7,2))</x:f>
      </x:c>
      <x:c r="N156" s="108" t="str">
        <x:f>IF(A156="","",IF(K156&gt;0,ROUND(K156*SETTINGS!$B$8+SETTINGS!$B$9,2),0))</x:f>
      </x:c>
      <x:c r="O156" s="108" t="str">
        <x:f>IF(A156="","",IF(F156="Yes",ROUND(MIN(K156*SETTINGS!$B$13,SETTINGS!$B$14),2),0))</x:f>
      </x:c>
      <x:c r="P156" s="108" t="str">
        <x:f>IF(A156="","",ROUND(K156*SETTINGS!$B$15,2))</x:f>
      </x:c>
      <x:c r="Q156" s="108" t="str">
        <x:f>IF(A156="","",ROUND(SUM(L156:P156)+G156,2))</x:f>
      </x:c>
      <x:c r="R156" s="108" t="str">
        <x:f>IF(A156="","",ROUND(K156-Q156,2))</x:f>
      </x:c>
      <x:c r="S156" s="109" t="str">
        <x:f>IF(OR(A156="",K156=0),"",R156/K156)</x:f>
      </x:c>
      <x:c r="T156" s="110"/>
    </x:row>
    <x:row r="157" ht="23" customHeight="1">
      <x:c r="A157" s="105"/>
      <x:c r="B157" s="106"/>
      <x:c r="C157" s="107"/>
      <x:c r="D157" s="107"/>
      <x:c r="E157" s="106"/>
      <x:c r="F157" s="106"/>
      <x:c r="G157" s="107"/>
      <x:c r="H157" s="107"/>
      <x:c r="I157" s="108" t="str">
        <x:f>IF(OR(C157="",E157=""),"",ROUND(C157*E157,2))</x:f>
      </x:c>
      <x:c r="J157" s="108" t="str">
        <x:f>IF(I157="","",ROUND(I157+D157,2))</x:f>
      </x:c>
      <x:c r="K157" s="108" t="str">
        <x:f>IF(J157="","",MAX(ROUND(J157-H157,2),0))</x:f>
      </x:c>
      <x:c r="L157" s="108" t="str">
        <x:f>IF(A157="","",ROUND(E157*SETTINGS!$B$6,2))</x:f>
      </x:c>
      <x:c r="M157" s="108" t="str">
        <x:f>IF(A157="","",ROUND(K157*SETTINGS!$B$7,2))</x:f>
      </x:c>
      <x:c r="N157" s="108" t="str">
        <x:f>IF(A157="","",IF(K157&gt;0,ROUND(K157*SETTINGS!$B$8+SETTINGS!$B$9,2),0))</x:f>
      </x:c>
      <x:c r="O157" s="108" t="str">
        <x:f>IF(A157="","",IF(F157="Yes",ROUND(MIN(K157*SETTINGS!$B$13,SETTINGS!$B$14),2),0))</x:f>
      </x:c>
      <x:c r="P157" s="108" t="str">
        <x:f>IF(A157="","",ROUND(K157*SETTINGS!$B$15,2))</x:f>
      </x:c>
      <x:c r="Q157" s="108" t="str">
        <x:f>IF(A157="","",ROUND(SUM(L157:P157)+G157,2))</x:f>
      </x:c>
      <x:c r="R157" s="108" t="str">
        <x:f>IF(A157="","",ROUND(K157-Q157,2))</x:f>
      </x:c>
      <x:c r="S157" s="109" t="str">
        <x:f>IF(OR(A157="",K157=0),"",R157/K157)</x:f>
      </x:c>
      <x:c r="T157" s="110"/>
    </x:row>
    <x:row r="158" ht="23" customHeight="1">
      <x:c r="A158" s="105"/>
      <x:c r="B158" s="106"/>
      <x:c r="C158" s="107"/>
      <x:c r="D158" s="107"/>
      <x:c r="E158" s="106"/>
      <x:c r="F158" s="106"/>
      <x:c r="G158" s="107"/>
      <x:c r="H158" s="107"/>
      <x:c r="I158" s="108" t="str">
        <x:f>IF(OR(C158="",E158=""),"",ROUND(C158*E158,2))</x:f>
      </x:c>
      <x:c r="J158" s="108" t="str">
        <x:f>IF(I158="","",ROUND(I158+D158,2))</x:f>
      </x:c>
      <x:c r="K158" s="108" t="str">
        <x:f>IF(J158="","",MAX(ROUND(J158-H158,2),0))</x:f>
      </x:c>
      <x:c r="L158" s="108" t="str">
        <x:f>IF(A158="","",ROUND(E158*SETTINGS!$B$6,2))</x:f>
      </x:c>
      <x:c r="M158" s="108" t="str">
        <x:f>IF(A158="","",ROUND(K158*SETTINGS!$B$7,2))</x:f>
      </x:c>
      <x:c r="N158" s="108" t="str">
        <x:f>IF(A158="","",IF(K158&gt;0,ROUND(K158*SETTINGS!$B$8+SETTINGS!$B$9,2),0))</x:f>
      </x:c>
      <x:c r="O158" s="108" t="str">
        <x:f>IF(A158="","",IF(F158="Yes",ROUND(MIN(K158*SETTINGS!$B$13,SETTINGS!$B$14),2),0))</x:f>
      </x:c>
      <x:c r="P158" s="108" t="str">
        <x:f>IF(A158="","",ROUND(K158*SETTINGS!$B$15,2))</x:f>
      </x:c>
      <x:c r="Q158" s="108" t="str">
        <x:f>IF(A158="","",ROUND(SUM(L158:P158)+G158,2))</x:f>
      </x:c>
      <x:c r="R158" s="108" t="str">
        <x:f>IF(A158="","",ROUND(K158-Q158,2))</x:f>
      </x:c>
      <x:c r="S158" s="109" t="str">
        <x:f>IF(OR(A158="",K158=0),"",R158/K158)</x:f>
      </x:c>
      <x:c r="T158" s="110"/>
    </x:row>
    <x:row r="159" ht="23" customHeight="1">
      <x:c r="A159" s="105"/>
      <x:c r="B159" s="106"/>
      <x:c r="C159" s="107"/>
      <x:c r="D159" s="107"/>
      <x:c r="E159" s="106"/>
      <x:c r="F159" s="106"/>
      <x:c r="G159" s="107"/>
      <x:c r="H159" s="107"/>
      <x:c r="I159" s="108" t="str">
        <x:f>IF(OR(C159="",E159=""),"",ROUND(C159*E159,2))</x:f>
      </x:c>
      <x:c r="J159" s="108" t="str">
        <x:f>IF(I159="","",ROUND(I159+D159,2))</x:f>
      </x:c>
      <x:c r="K159" s="108" t="str">
        <x:f>IF(J159="","",MAX(ROUND(J159-H159,2),0))</x:f>
      </x:c>
      <x:c r="L159" s="108" t="str">
        <x:f>IF(A159="","",ROUND(E159*SETTINGS!$B$6,2))</x:f>
      </x:c>
      <x:c r="M159" s="108" t="str">
        <x:f>IF(A159="","",ROUND(K159*SETTINGS!$B$7,2))</x:f>
      </x:c>
      <x:c r="N159" s="108" t="str">
        <x:f>IF(A159="","",IF(K159&gt;0,ROUND(K159*SETTINGS!$B$8+SETTINGS!$B$9,2),0))</x:f>
      </x:c>
      <x:c r="O159" s="108" t="str">
        <x:f>IF(A159="","",IF(F159="Yes",ROUND(MIN(K159*SETTINGS!$B$13,SETTINGS!$B$14),2),0))</x:f>
      </x:c>
      <x:c r="P159" s="108" t="str">
        <x:f>IF(A159="","",ROUND(K159*SETTINGS!$B$15,2))</x:f>
      </x:c>
      <x:c r="Q159" s="108" t="str">
        <x:f>IF(A159="","",ROUND(SUM(L159:P159)+G159,2))</x:f>
      </x:c>
      <x:c r="R159" s="108" t="str">
        <x:f>IF(A159="","",ROUND(K159-Q159,2))</x:f>
      </x:c>
      <x:c r="S159" s="109" t="str">
        <x:f>IF(OR(A159="",K159=0),"",R159/K159)</x:f>
      </x:c>
      <x:c r="T159" s="110"/>
    </x:row>
    <x:row r="160" ht="23" customHeight="1">
      <x:c r="A160" s="105"/>
      <x:c r="B160" s="106"/>
      <x:c r="C160" s="107"/>
      <x:c r="D160" s="107"/>
      <x:c r="E160" s="106"/>
      <x:c r="F160" s="106"/>
      <x:c r="G160" s="107"/>
      <x:c r="H160" s="107"/>
      <x:c r="I160" s="108" t="str">
        <x:f>IF(OR(C160="",E160=""),"",ROUND(C160*E160,2))</x:f>
      </x:c>
      <x:c r="J160" s="108" t="str">
        <x:f>IF(I160="","",ROUND(I160+D160,2))</x:f>
      </x:c>
      <x:c r="K160" s="108" t="str">
        <x:f>IF(J160="","",MAX(ROUND(J160-H160,2),0))</x:f>
      </x:c>
      <x:c r="L160" s="108" t="str">
        <x:f>IF(A160="","",ROUND(E160*SETTINGS!$B$6,2))</x:f>
      </x:c>
      <x:c r="M160" s="108" t="str">
        <x:f>IF(A160="","",ROUND(K160*SETTINGS!$B$7,2))</x:f>
      </x:c>
      <x:c r="N160" s="108" t="str">
        <x:f>IF(A160="","",IF(K160&gt;0,ROUND(K160*SETTINGS!$B$8+SETTINGS!$B$9,2),0))</x:f>
      </x:c>
      <x:c r="O160" s="108" t="str">
        <x:f>IF(A160="","",IF(F160="Yes",ROUND(MIN(K160*SETTINGS!$B$13,SETTINGS!$B$14),2),0))</x:f>
      </x:c>
      <x:c r="P160" s="108" t="str">
        <x:f>IF(A160="","",ROUND(K160*SETTINGS!$B$15,2))</x:f>
      </x:c>
      <x:c r="Q160" s="108" t="str">
        <x:f>IF(A160="","",ROUND(SUM(L160:P160)+G160,2))</x:f>
      </x:c>
      <x:c r="R160" s="108" t="str">
        <x:f>IF(A160="","",ROUND(K160-Q160,2))</x:f>
      </x:c>
      <x:c r="S160" s="109" t="str">
        <x:f>IF(OR(A160="",K160=0),"",R160/K160)</x:f>
      </x:c>
      <x:c r="T160" s="110"/>
    </x:row>
    <x:row r="161" ht="23" customHeight="1">
      <x:c r="A161" s="105"/>
      <x:c r="B161" s="106"/>
      <x:c r="C161" s="107"/>
      <x:c r="D161" s="107"/>
      <x:c r="E161" s="106"/>
      <x:c r="F161" s="106"/>
      <x:c r="G161" s="107"/>
      <x:c r="H161" s="107"/>
      <x:c r="I161" s="108" t="str">
        <x:f>IF(OR(C161="",E161=""),"",ROUND(C161*E161,2))</x:f>
      </x:c>
      <x:c r="J161" s="108" t="str">
        <x:f>IF(I161="","",ROUND(I161+D161,2))</x:f>
      </x:c>
      <x:c r="K161" s="108" t="str">
        <x:f>IF(J161="","",MAX(ROUND(J161-H161,2),0))</x:f>
      </x:c>
      <x:c r="L161" s="108" t="str">
        <x:f>IF(A161="","",ROUND(E161*SETTINGS!$B$6,2))</x:f>
      </x:c>
      <x:c r="M161" s="108" t="str">
        <x:f>IF(A161="","",ROUND(K161*SETTINGS!$B$7,2))</x:f>
      </x:c>
      <x:c r="N161" s="108" t="str">
        <x:f>IF(A161="","",IF(K161&gt;0,ROUND(K161*SETTINGS!$B$8+SETTINGS!$B$9,2),0))</x:f>
      </x:c>
      <x:c r="O161" s="108" t="str">
        <x:f>IF(A161="","",IF(F161="Yes",ROUND(MIN(K161*SETTINGS!$B$13,SETTINGS!$B$14),2),0))</x:f>
      </x:c>
      <x:c r="P161" s="108" t="str">
        <x:f>IF(A161="","",ROUND(K161*SETTINGS!$B$15,2))</x:f>
      </x:c>
      <x:c r="Q161" s="108" t="str">
        <x:f>IF(A161="","",ROUND(SUM(L161:P161)+G161,2))</x:f>
      </x:c>
      <x:c r="R161" s="108" t="str">
        <x:f>IF(A161="","",ROUND(K161-Q161,2))</x:f>
      </x:c>
      <x:c r="S161" s="109" t="str">
        <x:f>IF(OR(A161="",K161=0),"",R161/K161)</x:f>
      </x:c>
      <x:c r="T161" s="110"/>
    </x:row>
    <x:row r="162" ht="23" customHeight="1">
      <x:c r="A162" s="105"/>
      <x:c r="B162" s="106"/>
      <x:c r="C162" s="107"/>
      <x:c r="D162" s="107"/>
      <x:c r="E162" s="106"/>
      <x:c r="F162" s="106"/>
      <x:c r="G162" s="107"/>
      <x:c r="H162" s="107"/>
      <x:c r="I162" s="108" t="str">
        <x:f>IF(OR(C162="",E162=""),"",ROUND(C162*E162,2))</x:f>
      </x:c>
      <x:c r="J162" s="108" t="str">
        <x:f>IF(I162="","",ROUND(I162+D162,2))</x:f>
      </x:c>
      <x:c r="K162" s="108" t="str">
        <x:f>IF(J162="","",MAX(ROUND(J162-H162,2),0))</x:f>
      </x:c>
      <x:c r="L162" s="108" t="str">
        <x:f>IF(A162="","",ROUND(E162*SETTINGS!$B$6,2))</x:f>
      </x:c>
      <x:c r="M162" s="108" t="str">
        <x:f>IF(A162="","",ROUND(K162*SETTINGS!$B$7,2))</x:f>
      </x:c>
      <x:c r="N162" s="108" t="str">
        <x:f>IF(A162="","",IF(K162&gt;0,ROUND(K162*SETTINGS!$B$8+SETTINGS!$B$9,2),0))</x:f>
      </x:c>
      <x:c r="O162" s="108" t="str">
        <x:f>IF(A162="","",IF(F162="Yes",ROUND(MIN(K162*SETTINGS!$B$13,SETTINGS!$B$14),2),0))</x:f>
      </x:c>
      <x:c r="P162" s="108" t="str">
        <x:f>IF(A162="","",ROUND(K162*SETTINGS!$B$15,2))</x:f>
      </x:c>
      <x:c r="Q162" s="108" t="str">
        <x:f>IF(A162="","",ROUND(SUM(L162:P162)+G162,2))</x:f>
      </x:c>
      <x:c r="R162" s="108" t="str">
        <x:f>IF(A162="","",ROUND(K162-Q162,2))</x:f>
      </x:c>
      <x:c r="S162" s="109" t="str">
        <x:f>IF(OR(A162="",K162=0),"",R162/K162)</x:f>
      </x:c>
      <x:c r="T162" s="110"/>
    </x:row>
    <x:row r="163" ht="23" customHeight="1">
      <x:c r="A163" s="105"/>
      <x:c r="B163" s="106"/>
      <x:c r="C163" s="107"/>
      <x:c r="D163" s="107"/>
      <x:c r="E163" s="106"/>
      <x:c r="F163" s="106"/>
      <x:c r="G163" s="107"/>
      <x:c r="H163" s="107"/>
      <x:c r="I163" s="108" t="str">
        <x:f>IF(OR(C163="",E163=""),"",ROUND(C163*E163,2))</x:f>
      </x:c>
      <x:c r="J163" s="108" t="str">
        <x:f>IF(I163="","",ROUND(I163+D163,2))</x:f>
      </x:c>
      <x:c r="K163" s="108" t="str">
        <x:f>IF(J163="","",MAX(ROUND(J163-H163,2),0))</x:f>
      </x:c>
      <x:c r="L163" s="108" t="str">
        <x:f>IF(A163="","",ROUND(E163*SETTINGS!$B$6,2))</x:f>
      </x:c>
      <x:c r="M163" s="108" t="str">
        <x:f>IF(A163="","",ROUND(K163*SETTINGS!$B$7,2))</x:f>
      </x:c>
      <x:c r="N163" s="108" t="str">
        <x:f>IF(A163="","",IF(K163&gt;0,ROUND(K163*SETTINGS!$B$8+SETTINGS!$B$9,2),0))</x:f>
      </x:c>
      <x:c r="O163" s="108" t="str">
        <x:f>IF(A163="","",IF(F163="Yes",ROUND(MIN(K163*SETTINGS!$B$13,SETTINGS!$B$14),2),0))</x:f>
      </x:c>
      <x:c r="P163" s="108" t="str">
        <x:f>IF(A163="","",ROUND(K163*SETTINGS!$B$15,2))</x:f>
      </x:c>
      <x:c r="Q163" s="108" t="str">
        <x:f>IF(A163="","",ROUND(SUM(L163:P163)+G163,2))</x:f>
      </x:c>
      <x:c r="R163" s="108" t="str">
        <x:f>IF(A163="","",ROUND(K163-Q163,2))</x:f>
      </x:c>
      <x:c r="S163" s="109" t="str">
        <x:f>IF(OR(A163="",K163=0),"",R163/K163)</x:f>
      </x:c>
      <x:c r="T163" s="110"/>
    </x:row>
    <x:row r="164" ht="23" customHeight="1">
      <x:c r="A164" s="105"/>
      <x:c r="B164" s="106"/>
      <x:c r="C164" s="107"/>
      <x:c r="D164" s="107"/>
      <x:c r="E164" s="106"/>
      <x:c r="F164" s="106"/>
      <x:c r="G164" s="107"/>
      <x:c r="H164" s="107"/>
      <x:c r="I164" s="108" t="str">
        <x:f>IF(OR(C164="",E164=""),"",ROUND(C164*E164,2))</x:f>
      </x:c>
      <x:c r="J164" s="108" t="str">
        <x:f>IF(I164="","",ROUND(I164+D164,2))</x:f>
      </x:c>
      <x:c r="K164" s="108" t="str">
        <x:f>IF(J164="","",MAX(ROUND(J164-H164,2),0))</x:f>
      </x:c>
      <x:c r="L164" s="108" t="str">
        <x:f>IF(A164="","",ROUND(E164*SETTINGS!$B$6,2))</x:f>
      </x:c>
      <x:c r="M164" s="108" t="str">
        <x:f>IF(A164="","",ROUND(K164*SETTINGS!$B$7,2))</x:f>
      </x:c>
      <x:c r="N164" s="108" t="str">
        <x:f>IF(A164="","",IF(K164&gt;0,ROUND(K164*SETTINGS!$B$8+SETTINGS!$B$9,2),0))</x:f>
      </x:c>
      <x:c r="O164" s="108" t="str">
        <x:f>IF(A164="","",IF(F164="Yes",ROUND(MIN(K164*SETTINGS!$B$13,SETTINGS!$B$14),2),0))</x:f>
      </x:c>
      <x:c r="P164" s="108" t="str">
        <x:f>IF(A164="","",ROUND(K164*SETTINGS!$B$15,2))</x:f>
      </x:c>
      <x:c r="Q164" s="108" t="str">
        <x:f>IF(A164="","",ROUND(SUM(L164:P164)+G164,2))</x:f>
      </x:c>
      <x:c r="R164" s="108" t="str">
        <x:f>IF(A164="","",ROUND(K164-Q164,2))</x:f>
      </x:c>
      <x:c r="S164" s="109" t="str">
        <x:f>IF(OR(A164="",K164=0),"",R164/K164)</x:f>
      </x:c>
      <x:c r="T164" s="110"/>
    </x:row>
    <x:row r="165" ht="23" customHeight="1">
      <x:c r="A165" s="105"/>
      <x:c r="B165" s="106"/>
      <x:c r="C165" s="107"/>
      <x:c r="D165" s="107"/>
      <x:c r="E165" s="106"/>
      <x:c r="F165" s="106"/>
      <x:c r="G165" s="107"/>
      <x:c r="H165" s="107"/>
      <x:c r="I165" s="108" t="str">
        <x:f>IF(OR(C165="",E165=""),"",ROUND(C165*E165,2))</x:f>
      </x:c>
      <x:c r="J165" s="108" t="str">
        <x:f>IF(I165="","",ROUND(I165+D165,2))</x:f>
      </x:c>
      <x:c r="K165" s="108" t="str">
        <x:f>IF(J165="","",MAX(ROUND(J165-H165,2),0))</x:f>
      </x:c>
      <x:c r="L165" s="108" t="str">
        <x:f>IF(A165="","",ROUND(E165*SETTINGS!$B$6,2))</x:f>
      </x:c>
      <x:c r="M165" s="108" t="str">
        <x:f>IF(A165="","",ROUND(K165*SETTINGS!$B$7,2))</x:f>
      </x:c>
      <x:c r="N165" s="108" t="str">
        <x:f>IF(A165="","",IF(K165&gt;0,ROUND(K165*SETTINGS!$B$8+SETTINGS!$B$9,2),0))</x:f>
      </x:c>
      <x:c r="O165" s="108" t="str">
        <x:f>IF(A165="","",IF(F165="Yes",ROUND(MIN(K165*SETTINGS!$B$13,SETTINGS!$B$14),2),0))</x:f>
      </x:c>
      <x:c r="P165" s="108" t="str">
        <x:f>IF(A165="","",ROUND(K165*SETTINGS!$B$15,2))</x:f>
      </x:c>
      <x:c r="Q165" s="108" t="str">
        <x:f>IF(A165="","",ROUND(SUM(L165:P165)+G165,2))</x:f>
      </x:c>
      <x:c r="R165" s="108" t="str">
        <x:f>IF(A165="","",ROUND(K165-Q165,2))</x:f>
      </x:c>
      <x:c r="S165" s="109" t="str">
        <x:f>IF(OR(A165="",K165=0),"",R165/K165)</x:f>
      </x:c>
      <x:c r="T165" s="110"/>
    </x:row>
    <x:row r="166" ht="23" customHeight="1">
      <x:c r="A166" s="105"/>
      <x:c r="B166" s="106"/>
      <x:c r="C166" s="107"/>
      <x:c r="D166" s="107"/>
      <x:c r="E166" s="106"/>
      <x:c r="F166" s="106"/>
      <x:c r="G166" s="107"/>
      <x:c r="H166" s="107"/>
      <x:c r="I166" s="108" t="str">
        <x:f>IF(OR(C166="",E166=""),"",ROUND(C166*E166,2))</x:f>
      </x:c>
      <x:c r="J166" s="108" t="str">
        <x:f>IF(I166="","",ROUND(I166+D166,2))</x:f>
      </x:c>
      <x:c r="K166" s="108" t="str">
        <x:f>IF(J166="","",MAX(ROUND(J166-H166,2),0))</x:f>
      </x:c>
      <x:c r="L166" s="108" t="str">
        <x:f>IF(A166="","",ROUND(E166*SETTINGS!$B$6,2))</x:f>
      </x:c>
      <x:c r="M166" s="108" t="str">
        <x:f>IF(A166="","",ROUND(K166*SETTINGS!$B$7,2))</x:f>
      </x:c>
      <x:c r="N166" s="108" t="str">
        <x:f>IF(A166="","",IF(K166&gt;0,ROUND(K166*SETTINGS!$B$8+SETTINGS!$B$9,2),0))</x:f>
      </x:c>
      <x:c r="O166" s="108" t="str">
        <x:f>IF(A166="","",IF(F166="Yes",ROUND(MIN(K166*SETTINGS!$B$13,SETTINGS!$B$14),2),0))</x:f>
      </x:c>
      <x:c r="P166" s="108" t="str">
        <x:f>IF(A166="","",ROUND(K166*SETTINGS!$B$15,2))</x:f>
      </x:c>
      <x:c r="Q166" s="108" t="str">
        <x:f>IF(A166="","",ROUND(SUM(L166:P166)+G166,2))</x:f>
      </x:c>
      <x:c r="R166" s="108" t="str">
        <x:f>IF(A166="","",ROUND(K166-Q166,2))</x:f>
      </x:c>
      <x:c r="S166" s="109" t="str">
        <x:f>IF(OR(A166="",K166=0),"",R166/K166)</x:f>
      </x:c>
      <x:c r="T166" s="110"/>
    </x:row>
    <x:row r="167" ht="23" customHeight="1">
      <x:c r="A167" s="105"/>
      <x:c r="B167" s="106"/>
      <x:c r="C167" s="107"/>
      <x:c r="D167" s="107"/>
      <x:c r="E167" s="106"/>
      <x:c r="F167" s="106"/>
      <x:c r="G167" s="107"/>
      <x:c r="H167" s="107"/>
      <x:c r="I167" s="108" t="str">
        <x:f>IF(OR(C167="",E167=""),"",ROUND(C167*E167,2))</x:f>
      </x:c>
      <x:c r="J167" s="108" t="str">
        <x:f>IF(I167="","",ROUND(I167+D167,2))</x:f>
      </x:c>
      <x:c r="K167" s="108" t="str">
        <x:f>IF(J167="","",MAX(ROUND(J167-H167,2),0))</x:f>
      </x:c>
      <x:c r="L167" s="108" t="str">
        <x:f>IF(A167="","",ROUND(E167*SETTINGS!$B$6,2))</x:f>
      </x:c>
      <x:c r="M167" s="108" t="str">
        <x:f>IF(A167="","",ROUND(K167*SETTINGS!$B$7,2))</x:f>
      </x:c>
      <x:c r="N167" s="108" t="str">
        <x:f>IF(A167="","",IF(K167&gt;0,ROUND(K167*SETTINGS!$B$8+SETTINGS!$B$9,2),0))</x:f>
      </x:c>
      <x:c r="O167" s="108" t="str">
        <x:f>IF(A167="","",IF(F167="Yes",ROUND(MIN(K167*SETTINGS!$B$13,SETTINGS!$B$14),2),0))</x:f>
      </x:c>
      <x:c r="P167" s="108" t="str">
        <x:f>IF(A167="","",ROUND(K167*SETTINGS!$B$15,2))</x:f>
      </x:c>
      <x:c r="Q167" s="108" t="str">
        <x:f>IF(A167="","",ROUND(SUM(L167:P167)+G167,2))</x:f>
      </x:c>
      <x:c r="R167" s="108" t="str">
        <x:f>IF(A167="","",ROUND(K167-Q167,2))</x:f>
      </x:c>
      <x:c r="S167" s="109" t="str">
        <x:f>IF(OR(A167="",K167=0),"",R167/K167)</x:f>
      </x:c>
      <x:c r="T167" s="110"/>
    </x:row>
    <x:row r="168" ht="23" customHeight="1">
      <x:c r="A168" s="105"/>
      <x:c r="B168" s="106"/>
      <x:c r="C168" s="107"/>
      <x:c r="D168" s="107"/>
      <x:c r="E168" s="106"/>
      <x:c r="F168" s="106"/>
      <x:c r="G168" s="107"/>
      <x:c r="H168" s="107"/>
      <x:c r="I168" s="108" t="str">
        <x:f>IF(OR(C168="",E168=""),"",ROUND(C168*E168,2))</x:f>
      </x:c>
      <x:c r="J168" s="108" t="str">
        <x:f>IF(I168="","",ROUND(I168+D168,2))</x:f>
      </x:c>
      <x:c r="K168" s="108" t="str">
        <x:f>IF(J168="","",MAX(ROUND(J168-H168,2),0))</x:f>
      </x:c>
      <x:c r="L168" s="108" t="str">
        <x:f>IF(A168="","",ROUND(E168*SETTINGS!$B$6,2))</x:f>
      </x:c>
      <x:c r="M168" s="108" t="str">
        <x:f>IF(A168="","",ROUND(K168*SETTINGS!$B$7,2))</x:f>
      </x:c>
      <x:c r="N168" s="108" t="str">
        <x:f>IF(A168="","",IF(K168&gt;0,ROUND(K168*SETTINGS!$B$8+SETTINGS!$B$9,2),0))</x:f>
      </x:c>
      <x:c r="O168" s="108" t="str">
        <x:f>IF(A168="","",IF(F168="Yes",ROUND(MIN(K168*SETTINGS!$B$13,SETTINGS!$B$14),2),0))</x:f>
      </x:c>
      <x:c r="P168" s="108" t="str">
        <x:f>IF(A168="","",ROUND(K168*SETTINGS!$B$15,2))</x:f>
      </x:c>
      <x:c r="Q168" s="108" t="str">
        <x:f>IF(A168="","",ROUND(SUM(L168:P168)+G168,2))</x:f>
      </x:c>
      <x:c r="R168" s="108" t="str">
        <x:f>IF(A168="","",ROUND(K168-Q168,2))</x:f>
      </x:c>
      <x:c r="S168" s="109" t="str">
        <x:f>IF(OR(A168="",K168=0),"",R168/K168)</x:f>
      </x:c>
      <x:c r="T168" s="110"/>
    </x:row>
    <x:row r="169" ht="23" customHeight="1">
      <x:c r="A169" s="105"/>
      <x:c r="B169" s="106"/>
      <x:c r="C169" s="107"/>
      <x:c r="D169" s="107"/>
      <x:c r="E169" s="106"/>
      <x:c r="F169" s="106"/>
      <x:c r="G169" s="107"/>
      <x:c r="H169" s="107"/>
      <x:c r="I169" s="108" t="str">
        <x:f>IF(OR(C169="",E169=""),"",ROUND(C169*E169,2))</x:f>
      </x:c>
      <x:c r="J169" s="108" t="str">
        <x:f>IF(I169="","",ROUND(I169+D169,2))</x:f>
      </x:c>
      <x:c r="K169" s="108" t="str">
        <x:f>IF(J169="","",MAX(ROUND(J169-H169,2),0))</x:f>
      </x:c>
      <x:c r="L169" s="108" t="str">
        <x:f>IF(A169="","",ROUND(E169*SETTINGS!$B$6,2))</x:f>
      </x:c>
      <x:c r="M169" s="108" t="str">
        <x:f>IF(A169="","",ROUND(K169*SETTINGS!$B$7,2))</x:f>
      </x:c>
      <x:c r="N169" s="108" t="str">
        <x:f>IF(A169="","",IF(K169&gt;0,ROUND(K169*SETTINGS!$B$8+SETTINGS!$B$9,2),0))</x:f>
      </x:c>
      <x:c r="O169" s="108" t="str">
        <x:f>IF(A169="","",IF(F169="Yes",ROUND(MIN(K169*SETTINGS!$B$13,SETTINGS!$B$14),2),0))</x:f>
      </x:c>
      <x:c r="P169" s="108" t="str">
        <x:f>IF(A169="","",ROUND(K169*SETTINGS!$B$15,2))</x:f>
      </x:c>
      <x:c r="Q169" s="108" t="str">
        <x:f>IF(A169="","",ROUND(SUM(L169:P169)+G169,2))</x:f>
      </x:c>
      <x:c r="R169" s="108" t="str">
        <x:f>IF(A169="","",ROUND(K169-Q169,2))</x:f>
      </x:c>
      <x:c r="S169" s="109" t="str">
        <x:f>IF(OR(A169="",K169=0),"",R169/K169)</x:f>
      </x:c>
      <x:c r="T169" s="110"/>
    </x:row>
    <x:row r="170" ht="23" customHeight="1">
      <x:c r="A170" s="105"/>
      <x:c r="B170" s="106"/>
      <x:c r="C170" s="107"/>
      <x:c r="D170" s="107"/>
      <x:c r="E170" s="106"/>
      <x:c r="F170" s="106"/>
      <x:c r="G170" s="107"/>
      <x:c r="H170" s="107"/>
      <x:c r="I170" s="108" t="str">
        <x:f>IF(OR(C170="",E170=""),"",ROUND(C170*E170,2))</x:f>
      </x:c>
      <x:c r="J170" s="108" t="str">
        <x:f>IF(I170="","",ROUND(I170+D170,2))</x:f>
      </x:c>
      <x:c r="K170" s="108" t="str">
        <x:f>IF(J170="","",MAX(ROUND(J170-H170,2),0))</x:f>
      </x:c>
      <x:c r="L170" s="108" t="str">
        <x:f>IF(A170="","",ROUND(E170*SETTINGS!$B$6,2))</x:f>
      </x:c>
      <x:c r="M170" s="108" t="str">
        <x:f>IF(A170="","",ROUND(K170*SETTINGS!$B$7,2))</x:f>
      </x:c>
      <x:c r="N170" s="108" t="str">
        <x:f>IF(A170="","",IF(K170&gt;0,ROUND(K170*SETTINGS!$B$8+SETTINGS!$B$9,2),0))</x:f>
      </x:c>
      <x:c r="O170" s="108" t="str">
        <x:f>IF(A170="","",IF(F170="Yes",ROUND(MIN(K170*SETTINGS!$B$13,SETTINGS!$B$14),2),0))</x:f>
      </x:c>
      <x:c r="P170" s="108" t="str">
        <x:f>IF(A170="","",ROUND(K170*SETTINGS!$B$15,2))</x:f>
      </x:c>
      <x:c r="Q170" s="108" t="str">
        <x:f>IF(A170="","",ROUND(SUM(L170:P170)+G170,2))</x:f>
      </x:c>
      <x:c r="R170" s="108" t="str">
        <x:f>IF(A170="","",ROUND(K170-Q170,2))</x:f>
      </x:c>
      <x:c r="S170" s="109" t="str">
        <x:f>IF(OR(A170="",K170=0),"",R170/K170)</x:f>
      </x:c>
      <x:c r="T170" s="110"/>
    </x:row>
    <x:row r="171" ht="23" customHeight="1">
      <x:c r="A171" s="105"/>
      <x:c r="B171" s="106"/>
      <x:c r="C171" s="107"/>
      <x:c r="D171" s="107"/>
      <x:c r="E171" s="106"/>
      <x:c r="F171" s="106"/>
      <x:c r="G171" s="107"/>
      <x:c r="H171" s="107"/>
      <x:c r="I171" s="108" t="str">
        <x:f>IF(OR(C171="",E171=""),"",ROUND(C171*E171,2))</x:f>
      </x:c>
      <x:c r="J171" s="108" t="str">
        <x:f>IF(I171="","",ROUND(I171+D171,2))</x:f>
      </x:c>
      <x:c r="K171" s="108" t="str">
        <x:f>IF(J171="","",MAX(ROUND(J171-H171,2),0))</x:f>
      </x:c>
      <x:c r="L171" s="108" t="str">
        <x:f>IF(A171="","",ROUND(E171*SETTINGS!$B$6,2))</x:f>
      </x:c>
      <x:c r="M171" s="108" t="str">
        <x:f>IF(A171="","",ROUND(K171*SETTINGS!$B$7,2))</x:f>
      </x:c>
      <x:c r="N171" s="108" t="str">
        <x:f>IF(A171="","",IF(K171&gt;0,ROUND(K171*SETTINGS!$B$8+SETTINGS!$B$9,2),0))</x:f>
      </x:c>
      <x:c r="O171" s="108" t="str">
        <x:f>IF(A171="","",IF(F171="Yes",ROUND(MIN(K171*SETTINGS!$B$13,SETTINGS!$B$14),2),0))</x:f>
      </x:c>
      <x:c r="P171" s="108" t="str">
        <x:f>IF(A171="","",ROUND(K171*SETTINGS!$B$15,2))</x:f>
      </x:c>
      <x:c r="Q171" s="108" t="str">
        <x:f>IF(A171="","",ROUND(SUM(L171:P171)+G171,2))</x:f>
      </x:c>
      <x:c r="R171" s="108" t="str">
        <x:f>IF(A171="","",ROUND(K171-Q171,2))</x:f>
      </x:c>
      <x:c r="S171" s="109" t="str">
        <x:f>IF(OR(A171="",K171=0),"",R171/K171)</x:f>
      </x:c>
      <x:c r="T171" s="110"/>
    </x:row>
    <x:row r="172" ht="23" customHeight="1">
      <x:c r="A172" s="105"/>
      <x:c r="B172" s="106"/>
      <x:c r="C172" s="107"/>
      <x:c r="D172" s="107"/>
      <x:c r="E172" s="106"/>
      <x:c r="F172" s="106"/>
      <x:c r="G172" s="107"/>
      <x:c r="H172" s="107"/>
      <x:c r="I172" s="108" t="str">
        <x:f>IF(OR(C172="",E172=""),"",ROUND(C172*E172,2))</x:f>
      </x:c>
      <x:c r="J172" s="108" t="str">
        <x:f>IF(I172="","",ROUND(I172+D172,2))</x:f>
      </x:c>
      <x:c r="K172" s="108" t="str">
        <x:f>IF(J172="","",MAX(ROUND(J172-H172,2),0))</x:f>
      </x:c>
      <x:c r="L172" s="108" t="str">
        <x:f>IF(A172="","",ROUND(E172*SETTINGS!$B$6,2))</x:f>
      </x:c>
      <x:c r="M172" s="108" t="str">
        <x:f>IF(A172="","",ROUND(K172*SETTINGS!$B$7,2))</x:f>
      </x:c>
      <x:c r="N172" s="108" t="str">
        <x:f>IF(A172="","",IF(K172&gt;0,ROUND(K172*SETTINGS!$B$8+SETTINGS!$B$9,2),0))</x:f>
      </x:c>
      <x:c r="O172" s="108" t="str">
        <x:f>IF(A172="","",IF(F172="Yes",ROUND(MIN(K172*SETTINGS!$B$13,SETTINGS!$B$14),2),0))</x:f>
      </x:c>
      <x:c r="P172" s="108" t="str">
        <x:f>IF(A172="","",ROUND(K172*SETTINGS!$B$15,2))</x:f>
      </x:c>
      <x:c r="Q172" s="108" t="str">
        <x:f>IF(A172="","",ROUND(SUM(L172:P172)+G172,2))</x:f>
      </x:c>
      <x:c r="R172" s="108" t="str">
        <x:f>IF(A172="","",ROUND(K172-Q172,2))</x:f>
      </x:c>
      <x:c r="S172" s="109" t="str">
        <x:f>IF(OR(A172="",K172=0),"",R172/K172)</x:f>
      </x:c>
      <x:c r="T172" s="110"/>
    </x:row>
    <x:row r="173" ht="23" customHeight="1">
      <x:c r="A173" s="105"/>
      <x:c r="B173" s="106"/>
      <x:c r="C173" s="107"/>
      <x:c r="D173" s="107"/>
      <x:c r="E173" s="106"/>
      <x:c r="F173" s="106"/>
      <x:c r="G173" s="107"/>
      <x:c r="H173" s="107"/>
      <x:c r="I173" s="108" t="str">
        <x:f>IF(OR(C173="",E173=""),"",ROUND(C173*E173,2))</x:f>
      </x:c>
      <x:c r="J173" s="108" t="str">
        <x:f>IF(I173="","",ROUND(I173+D173,2))</x:f>
      </x:c>
      <x:c r="K173" s="108" t="str">
        <x:f>IF(J173="","",MAX(ROUND(J173-H173,2),0))</x:f>
      </x:c>
      <x:c r="L173" s="108" t="str">
        <x:f>IF(A173="","",ROUND(E173*SETTINGS!$B$6,2))</x:f>
      </x:c>
      <x:c r="M173" s="108" t="str">
        <x:f>IF(A173="","",ROUND(K173*SETTINGS!$B$7,2))</x:f>
      </x:c>
      <x:c r="N173" s="108" t="str">
        <x:f>IF(A173="","",IF(K173&gt;0,ROUND(K173*SETTINGS!$B$8+SETTINGS!$B$9,2),0))</x:f>
      </x:c>
      <x:c r="O173" s="108" t="str">
        <x:f>IF(A173="","",IF(F173="Yes",ROUND(MIN(K173*SETTINGS!$B$13,SETTINGS!$B$14),2),0))</x:f>
      </x:c>
      <x:c r="P173" s="108" t="str">
        <x:f>IF(A173="","",ROUND(K173*SETTINGS!$B$15,2))</x:f>
      </x:c>
      <x:c r="Q173" s="108" t="str">
        <x:f>IF(A173="","",ROUND(SUM(L173:P173)+G173,2))</x:f>
      </x:c>
      <x:c r="R173" s="108" t="str">
        <x:f>IF(A173="","",ROUND(K173-Q173,2))</x:f>
      </x:c>
      <x:c r="S173" s="109" t="str">
        <x:f>IF(OR(A173="",K173=0),"",R173/K173)</x:f>
      </x:c>
      <x:c r="T173" s="110"/>
    </x:row>
    <x:row r="174" ht="23" customHeight="1">
      <x:c r="A174" s="105"/>
      <x:c r="B174" s="106"/>
      <x:c r="C174" s="107"/>
      <x:c r="D174" s="107"/>
      <x:c r="E174" s="106"/>
      <x:c r="F174" s="106"/>
      <x:c r="G174" s="107"/>
      <x:c r="H174" s="107"/>
      <x:c r="I174" s="108" t="str">
        <x:f>IF(OR(C174="",E174=""),"",ROUND(C174*E174,2))</x:f>
      </x:c>
      <x:c r="J174" s="108" t="str">
        <x:f>IF(I174="","",ROUND(I174+D174,2))</x:f>
      </x:c>
      <x:c r="K174" s="108" t="str">
        <x:f>IF(J174="","",MAX(ROUND(J174-H174,2),0))</x:f>
      </x:c>
      <x:c r="L174" s="108" t="str">
        <x:f>IF(A174="","",ROUND(E174*SETTINGS!$B$6,2))</x:f>
      </x:c>
      <x:c r="M174" s="108" t="str">
        <x:f>IF(A174="","",ROUND(K174*SETTINGS!$B$7,2))</x:f>
      </x:c>
      <x:c r="N174" s="108" t="str">
        <x:f>IF(A174="","",IF(K174&gt;0,ROUND(K174*SETTINGS!$B$8+SETTINGS!$B$9,2),0))</x:f>
      </x:c>
      <x:c r="O174" s="108" t="str">
        <x:f>IF(A174="","",IF(F174="Yes",ROUND(MIN(K174*SETTINGS!$B$13,SETTINGS!$B$14),2),0))</x:f>
      </x:c>
      <x:c r="P174" s="108" t="str">
        <x:f>IF(A174="","",ROUND(K174*SETTINGS!$B$15,2))</x:f>
      </x:c>
      <x:c r="Q174" s="108" t="str">
        <x:f>IF(A174="","",ROUND(SUM(L174:P174)+G174,2))</x:f>
      </x:c>
      <x:c r="R174" s="108" t="str">
        <x:f>IF(A174="","",ROUND(K174-Q174,2))</x:f>
      </x:c>
      <x:c r="S174" s="109" t="str">
        <x:f>IF(OR(A174="",K174=0),"",R174/K174)</x:f>
      </x:c>
      <x:c r="T174" s="110"/>
    </x:row>
    <x:row r="175" ht="23" customHeight="1">
      <x:c r="A175" s="105"/>
      <x:c r="B175" s="106"/>
      <x:c r="C175" s="107"/>
      <x:c r="D175" s="107"/>
      <x:c r="E175" s="106"/>
      <x:c r="F175" s="106"/>
      <x:c r="G175" s="107"/>
      <x:c r="H175" s="107"/>
      <x:c r="I175" s="108" t="str">
        <x:f>IF(OR(C175="",E175=""),"",ROUND(C175*E175,2))</x:f>
      </x:c>
      <x:c r="J175" s="108" t="str">
        <x:f>IF(I175="","",ROUND(I175+D175,2))</x:f>
      </x:c>
      <x:c r="K175" s="108" t="str">
        <x:f>IF(J175="","",MAX(ROUND(J175-H175,2),0))</x:f>
      </x:c>
      <x:c r="L175" s="108" t="str">
        <x:f>IF(A175="","",ROUND(E175*SETTINGS!$B$6,2))</x:f>
      </x:c>
      <x:c r="M175" s="108" t="str">
        <x:f>IF(A175="","",ROUND(K175*SETTINGS!$B$7,2))</x:f>
      </x:c>
      <x:c r="N175" s="108" t="str">
        <x:f>IF(A175="","",IF(K175&gt;0,ROUND(K175*SETTINGS!$B$8+SETTINGS!$B$9,2),0))</x:f>
      </x:c>
      <x:c r="O175" s="108" t="str">
        <x:f>IF(A175="","",IF(F175="Yes",ROUND(MIN(K175*SETTINGS!$B$13,SETTINGS!$B$14),2),0))</x:f>
      </x:c>
      <x:c r="P175" s="108" t="str">
        <x:f>IF(A175="","",ROUND(K175*SETTINGS!$B$15,2))</x:f>
      </x:c>
      <x:c r="Q175" s="108" t="str">
        <x:f>IF(A175="","",ROUND(SUM(L175:P175)+G175,2))</x:f>
      </x:c>
      <x:c r="R175" s="108" t="str">
        <x:f>IF(A175="","",ROUND(K175-Q175,2))</x:f>
      </x:c>
      <x:c r="S175" s="109" t="str">
        <x:f>IF(OR(A175="",K175=0),"",R175/K175)</x:f>
      </x:c>
      <x:c r="T175" s="110"/>
    </x:row>
    <x:row r="176" ht="23" customHeight="1">
      <x:c r="A176" s="105"/>
      <x:c r="B176" s="106"/>
      <x:c r="C176" s="107"/>
      <x:c r="D176" s="107"/>
      <x:c r="E176" s="106"/>
      <x:c r="F176" s="106"/>
      <x:c r="G176" s="107"/>
      <x:c r="H176" s="107"/>
      <x:c r="I176" s="108" t="str">
        <x:f>IF(OR(C176="",E176=""),"",ROUND(C176*E176,2))</x:f>
      </x:c>
      <x:c r="J176" s="108" t="str">
        <x:f>IF(I176="","",ROUND(I176+D176,2))</x:f>
      </x:c>
      <x:c r="K176" s="108" t="str">
        <x:f>IF(J176="","",MAX(ROUND(J176-H176,2),0))</x:f>
      </x:c>
      <x:c r="L176" s="108" t="str">
        <x:f>IF(A176="","",ROUND(E176*SETTINGS!$B$6,2))</x:f>
      </x:c>
      <x:c r="M176" s="108" t="str">
        <x:f>IF(A176="","",ROUND(K176*SETTINGS!$B$7,2))</x:f>
      </x:c>
      <x:c r="N176" s="108" t="str">
        <x:f>IF(A176="","",IF(K176&gt;0,ROUND(K176*SETTINGS!$B$8+SETTINGS!$B$9,2),0))</x:f>
      </x:c>
      <x:c r="O176" s="108" t="str">
        <x:f>IF(A176="","",IF(F176="Yes",ROUND(MIN(K176*SETTINGS!$B$13,SETTINGS!$B$14),2),0))</x:f>
      </x:c>
      <x:c r="P176" s="108" t="str">
        <x:f>IF(A176="","",ROUND(K176*SETTINGS!$B$15,2))</x:f>
      </x:c>
      <x:c r="Q176" s="108" t="str">
        <x:f>IF(A176="","",ROUND(SUM(L176:P176)+G176,2))</x:f>
      </x:c>
      <x:c r="R176" s="108" t="str">
        <x:f>IF(A176="","",ROUND(K176-Q176,2))</x:f>
      </x:c>
      <x:c r="S176" s="109" t="str">
        <x:f>IF(OR(A176="",K176=0),"",R176/K176)</x:f>
      </x:c>
      <x:c r="T176" s="110"/>
    </x:row>
    <x:row r="177" ht="23" customHeight="1">
      <x:c r="A177" s="105"/>
      <x:c r="B177" s="106"/>
      <x:c r="C177" s="107"/>
      <x:c r="D177" s="107"/>
      <x:c r="E177" s="106"/>
      <x:c r="F177" s="106"/>
      <x:c r="G177" s="107"/>
      <x:c r="H177" s="107"/>
      <x:c r="I177" s="108" t="str">
        <x:f>IF(OR(C177="",E177=""),"",ROUND(C177*E177,2))</x:f>
      </x:c>
      <x:c r="J177" s="108" t="str">
        <x:f>IF(I177="","",ROUND(I177+D177,2))</x:f>
      </x:c>
      <x:c r="K177" s="108" t="str">
        <x:f>IF(J177="","",MAX(ROUND(J177-H177,2),0))</x:f>
      </x:c>
      <x:c r="L177" s="108" t="str">
        <x:f>IF(A177="","",ROUND(E177*SETTINGS!$B$6,2))</x:f>
      </x:c>
      <x:c r="M177" s="108" t="str">
        <x:f>IF(A177="","",ROUND(K177*SETTINGS!$B$7,2))</x:f>
      </x:c>
      <x:c r="N177" s="108" t="str">
        <x:f>IF(A177="","",IF(K177&gt;0,ROUND(K177*SETTINGS!$B$8+SETTINGS!$B$9,2),0))</x:f>
      </x:c>
      <x:c r="O177" s="108" t="str">
        <x:f>IF(A177="","",IF(F177="Yes",ROUND(MIN(K177*SETTINGS!$B$13,SETTINGS!$B$14),2),0))</x:f>
      </x:c>
      <x:c r="P177" s="108" t="str">
        <x:f>IF(A177="","",ROUND(K177*SETTINGS!$B$15,2))</x:f>
      </x:c>
      <x:c r="Q177" s="108" t="str">
        <x:f>IF(A177="","",ROUND(SUM(L177:P177)+G177,2))</x:f>
      </x:c>
      <x:c r="R177" s="108" t="str">
        <x:f>IF(A177="","",ROUND(K177-Q177,2))</x:f>
      </x:c>
      <x:c r="S177" s="109" t="str">
        <x:f>IF(OR(A177="",K177=0),"",R177/K177)</x:f>
      </x:c>
      <x:c r="T177" s="110"/>
    </x:row>
    <x:row r="178" ht="23" customHeight="1">
      <x:c r="A178" s="105"/>
      <x:c r="B178" s="106"/>
      <x:c r="C178" s="107"/>
      <x:c r="D178" s="107"/>
      <x:c r="E178" s="106"/>
      <x:c r="F178" s="106"/>
      <x:c r="G178" s="107"/>
      <x:c r="H178" s="107"/>
      <x:c r="I178" s="108" t="str">
        <x:f>IF(OR(C178="",E178=""),"",ROUND(C178*E178,2))</x:f>
      </x:c>
      <x:c r="J178" s="108" t="str">
        <x:f>IF(I178="","",ROUND(I178+D178,2))</x:f>
      </x:c>
      <x:c r="K178" s="108" t="str">
        <x:f>IF(J178="","",MAX(ROUND(J178-H178,2),0))</x:f>
      </x:c>
      <x:c r="L178" s="108" t="str">
        <x:f>IF(A178="","",ROUND(E178*SETTINGS!$B$6,2))</x:f>
      </x:c>
      <x:c r="M178" s="108" t="str">
        <x:f>IF(A178="","",ROUND(K178*SETTINGS!$B$7,2))</x:f>
      </x:c>
      <x:c r="N178" s="108" t="str">
        <x:f>IF(A178="","",IF(K178&gt;0,ROUND(K178*SETTINGS!$B$8+SETTINGS!$B$9,2),0))</x:f>
      </x:c>
      <x:c r="O178" s="108" t="str">
        <x:f>IF(A178="","",IF(F178="Yes",ROUND(MIN(K178*SETTINGS!$B$13,SETTINGS!$B$14),2),0))</x:f>
      </x:c>
      <x:c r="P178" s="108" t="str">
        <x:f>IF(A178="","",ROUND(K178*SETTINGS!$B$15,2))</x:f>
      </x:c>
      <x:c r="Q178" s="108" t="str">
        <x:f>IF(A178="","",ROUND(SUM(L178:P178)+G178,2))</x:f>
      </x:c>
      <x:c r="R178" s="108" t="str">
        <x:f>IF(A178="","",ROUND(K178-Q178,2))</x:f>
      </x:c>
      <x:c r="S178" s="109" t="str">
        <x:f>IF(OR(A178="",K178=0),"",R178/K178)</x:f>
      </x:c>
      <x:c r="T178" s="110"/>
    </x:row>
    <x:row r="179" ht="23" customHeight="1">
      <x:c r="A179" s="105"/>
      <x:c r="B179" s="106"/>
      <x:c r="C179" s="107"/>
      <x:c r="D179" s="107"/>
      <x:c r="E179" s="106"/>
      <x:c r="F179" s="106"/>
      <x:c r="G179" s="107"/>
      <x:c r="H179" s="107"/>
      <x:c r="I179" s="108" t="str">
        <x:f>IF(OR(C179="",E179=""),"",ROUND(C179*E179,2))</x:f>
      </x:c>
      <x:c r="J179" s="108" t="str">
        <x:f>IF(I179="","",ROUND(I179+D179,2))</x:f>
      </x:c>
      <x:c r="K179" s="108" t="str">
        <x:f>IF(J179="","",MAX(ROUND(J179-H179,2),0))</x:f>
      </x:c>
      <x:c r="L179" s="108" t="str">
        <x:f>IF(A179="","",ROUND(E179*SETTINGS!$B$6,2))</x:f>
      </x:c>
      <x:c r="M179" s="108" t="str">
        <x:f>IF(A179="","",ROUND(K179*SETTINGS!$B$7,2))</x:f>
      </x:c>
      <x:c r="N179" s="108" t="str">
        <x:f>IF(A179="","",IF(K179&gt;0,ROUND(K179*SETTINGS!$B$8+SETTINGS!$B$9,2),0))</x:f>
      </x:c>
      <x:c r="O179" s="108" t="str">
        <x:f>IF(A179="","",IF(F179="Yes",ROUND(MIN(K179*SETTINGS!$B$13,SETTINGS!$B$14),2),0))</x:f>
      </x:c>
      <x:c r="P179" s="108" t="str">
        <x:f>IF(A179="","",ROUND(K179*SETTINGS!$B$15,2))</x:f>
      </x:c>
      <x:c r="Q179" s="108" t="str">
        <x:f>IF(A179="","",ROUND(SUM(L179:P179)+G179,2))</x:f>
      </x:c>
      <x:c r="R179" s="108" t="str">
        <x:f>IF(A179="","",ROUND(K179-Q179,2))</x:f>
      </x:c>
      <x:c r="S179" s="109" t="str">
        <x:f>IF(OR(A179="",K179=0),"",R179/K179)</x:f>
      </x:c>
      <x:c r="T179" s="110"/>
    </x:row>
    <x:row r="180" ht="23" customHeight="1">
      <x:c r="A180" s="105"/>
      <x:c r="B180" s="106"/>
      <x:c r="C180" s="107"/>
      <x:c r="D180" s="107"/>
      <x:c r="E180" s="106"/>
      <x:c r="F180" s="106"/>
      <x:c r="G180" s="107"/>
      <x:c r="H180" s="107"/>
      <x:c r="I180" s="108" t="str">
        <x:f>IF(OR(C180="",E180=""),"",ROUND(C180*E180,2))</x:f>
      </x:c>
      <x:c r="J180" s="108" t="str">
        <x:f>IF(I180="","",ROUND(I180+D180,2))</x:f>
      </x:c>
      <x:c r="K180" s="108" t="str">
        <x:f>IF(J180="","",MAX(ROUND(J180-H180,2),0))</x:f>
      </x:c>
      <x:c r="L180" s="108" t="str">
        <x:f>IF(A180="","",ROUND(E180*SETTINGS!$B$6,2))</x:f>
      </x:c>
      <x:c r="M180" s="108" t="str">
        <x:f>IF(A180="","",ROUND(K180*SETTINGS!$B$7,2))</x:f>
      </x:c>
      <x:c r="N180" s="108" t="str">
        <x:f>IF(A180="","",IF(K180&gt;0,ROUND(K180*SETTINGS!$B$8+SETTINGS!$B$9,2),0))</x:f>
      </x:c>
      <x:c r="O180" s="108" t="str">
        <x:f>IF(A180="","",IF(F180="Yes",ROUND(MIN(K180*SETTINGS!$B$13,SETTINGS!$B$14),2),0))</x:f>
      </x:c>
      <x:c r="P180" s="108" t="str">
        <x:f>IF(A180="","",ROUND(K180*SETTINGS!$B$15,2))</x:f>
      </x:c>
      <x:c r="Q180" s="108" t="str">
        <x:f>IF(A180="","",ROUND(SUM(L180:P180)+G180,2))</x:f>
      </x:c>
      <x:c r="R180" s="108" t="str">
        <x:f>IF(A180="","",ROUND(K180-Q180,2))</x:f>
      </x:c>
      <x:c r="S180" s="109" t="str">
        <x:f>IF(OR(A180="",K180=0),"",R180/K180)</x:f>
      </x:c>
      <x:c r="T180" s="110"/>
    </x:row>
    <x:row r="181" ht="23" customHeight="1">
      <x:c r="A181" s="105"/>
      <x:c r="B181" s="106"/>
      <x:c r="C181" s="107"/>
      <x:c r="D181" s="107"/>
      <x:c r="E181" s="106"/>
      <x:c r="F181" s="106"/>
      <x:c r="G181" s="107"/>
      <x:c r="H181" s="107"/>
      <x:c r="I181" s="108" t="str">
        <x:f>IF(OR(C181="",E181=""),"",ROUND(C181*E181,2))</x:f>
      </x:c>
      <x:c r="J181" s="108" t="str">
        <x:f>IF(I181="","",ROUND(I181+D181,2))</x:f>
      </x:c>
      <x:c r="K181" s="108" t="str">
        <x:f>IF(J181="","",MAX(ROUND(J181-H181,2),0))</x:f>
      </x:c>
      <x:c r="L181" s="108" t="str">
        <x:f>IF(A181="","",ROUND(E181*SETTINGS!$B$6,2))</x:f>
      </x:c>
      <x:c r="M181" s="108" t="str">
        <x:f>IF(A181="","",ROUND(K181*SETTINGS!$B$7,2))</x:f>
      </x:c>
      <x:c r="N181" s="108" t="str">
        <x:f>IF(A181="","",IF(K181&gt;0,ROUND(K181*SETTINGS!$B$8+SETTINGS!$B$9,2),0))</x:f>
      </x:c>
      <x:c r="O181" s="108" t="str">
        <x:f>IF(A181="","",IF(F181="Yes",ROUND(MIN(K181*SETTINGS!$B$13,SETTINGS!$B$14),2),0))</x:f>
      </x:c>
      <x:c r="P181" s="108" t="str">
        <x:f>IF(A181="","",ROUND(K181*SETTINGS!$B$15,2))</x:f>
      </x:c>
      <x:c r="Q181" s="108" t="str">
        <x:f>IF(A181="","",ROUND(SUM(L181:P181)+G181,2))</x:f>
      </x:c>
      <x:c r="R181" s="108" t="str">
        <x:f>IF(A181="","",ROUND(K181-Q181,2))</x:f>
      </x:c>
      <x:c r="S181" s="109" t="str">
        <x:f>IF(OR(A181="",K181=0),"",R181/K181)</x:f>
      </x:c>
      <x:c r="T181" s="110"/>
    </x:row>
    <x:row r="182" ht="23" customHeight="1">
      <x:c r="A182" s="105"/>
      <x:c r="B182" s="106"/>
      <x:c r="C182" s="107"/>
      <x:c r="D182" s="107"/>
      <x:c r="E182" s="106"/>
      <x:c r="F182" s="106"/>
      <x:c r="G182" s="107"/>
      <x:c r="H182" s="107"/>
      <x:c r="I182" s="108" t="str">
        <x:f>IF(OR(C182="",E182=""),"",ROUND(C182*E182,2))</x:f>
      </x:c>
      <x:c r="J182" s="108" t="str">
        <x:f>IF(I182="","",ROUND(I182+D182,2))</x:f>
      </x:c>
      <x:c r="K182" s="108" t="str">
        <x:f>IF(J182="","",MAX(ROUND(J182-H182,2),0))</x:f>
      </x:c>
      <x:c r="L182" s="108" t="str">
        <x:f>IF(A182="","",ROUND(E182*SETTINGS!$B$6,2))</x:f>
      </x:c>
      <x:c r="M182" s="108" t="str">
        <x:f>IF(A182="","",ROUND(K182*SETTINGS!$B$7,2))</x:f>
      </x:c>
      <x:c r="N182" s="108" t="str">
        <x:f>IF(A182="","",IF(K182&gt;0,ROUND(K182*SETTINGS!$B$8+SETTINGS!$B$9,2),0))</x:f>
      </x:c>
      <x:c r="O182" s="108" t="str">
        <x:f>IF(A182="","",IF(F182="Yes",ROUND(MIN(K182*SETTINGS!$B$13,SETTINGS!$B$14),2),0))</x:f>
      </x:c>
      <x:c r="P182" s="108" t="str">
        <x:f>IF(A182="","",ROUND(K182*SETTINGS!$B$15,2))</x:f>
      </x:c>
      <x:c r="Q182" s="108" t="str">
        <x:f>IF(A182="","",ROUND(SUM(L182:P182)+G182,2))</x:f>
      </x:c>
      <x:c r="R182" s="108" t="str">
        <x:f>IF(A182="","",ROUND(K182-Q182,2))</x:f>
      </x:c>
      <x:c r="S182" s="109" t="str">
        <x:f>IF(OR(A182="",K182=0),"",R182/K182)</x:f>
      </x:c>
      <x:c r="T182" s="110"/>
    </x:row>
    <x:row r="183" ht="23" customHeight="1">
      <x:c r="A183" s="105"/>
      <x:c r="B183" s="106"/>
      <x:c r="C183" s="107"/>
      <x:c r="D183" s="107"/>
      <x:c r="E183" s="106"/>
      <x:c r="F183" s="106"/>
      <x:c r="G183" s="107"/>
      <x:c r="H183" s="107"/>
      <x:c r="I183" s="108" t="str">
        <x:f>IF(OR(C183="",E183=""),"",ROUND(C183*E183,2))</x:f>
      </x:c>
      <x:c r="J183" s="108" t="str">
        <x:f>IF(I183="","",ROUND(I183+D183,2))</x:f>
      </x:c>
      <x:c r="K183" s="108" t="str">
        <x:f>IF(J183="","",MAX(ROUND(J183-H183,2),0))</x:f>
      </x:c>
      <x:c r="L183" s="108" t="str">
        <x:f>IF(A183="","",ROUND(E183*SETTINGS!$B$6,2))</x:f>
      </x:c>
      <x:c r="M183" s="108" t="str">
        <x:f>IF(A183="","",ROUND(K183*SETTINGS!$B$7,2))</x:f>
      </x:c>
      <x:c r="N183" s="108" t="str">
        <x:f>IF(A183="","",IF(K183&gt;0,ROUND(K183*SETTINGS!$B$8+SETTINGS!$B$9,2),0))</x:f>
      </x:c>
      <x:c r="O183" s="108" t="str">
        <x:f>IF(A183="","",IF(F183="Yes",ROUND(MIN(K183*SETTINGS!$B$13,SETTINGS!$B$14),2),0))</x:f>
      </x:c>
      <x:c r="P183" s="108" t="str">
        <x:f>IF(A183="","",ROUND(K183*SETTINGS!$B$15,2))</x:f>
      </x:c>
      <x:c r="Q183" s="108" t="str">
        <x:f>IF(A183="","",ROUND(SUM(L183:P183)+G183,2))</x:f>
      </x:c>
      <x:c r="R183" s="108" t="str">
        <x:f>IF(A183="","",ROUND(K183-Q183,2))</x:f>
      </x:c>
      <x:c r="S183" s="109" t="str">
        <x:f>IF(OR(A183="",K183=0),"",R183/K183)</x:f>
      </x:c>
      <x:c r="T183" s="110"/>
    </x:row>
    <x:row r="184" ht="23" customHeight="1">
      <x:c r="A184" s="105"/>
      <x:c r="B184" s="106"/>
      <x:c r="C184" s="107"/>
      <x:c r="D184" s="107"/>
      <x:c r="E184" s="106"/>
      <x:c r="F184" s="106"/>
      <x:c r="G184" s="107"/>
      <x:c r="H184" s="107"/>
      <x:c r="I184" s="108" t="str">
        <x:f>IF(OR(C184="",E184=""),"",ROUND(C184*E184,2))</x:f>
      </x:c>
      <x:c r="J184" s="108" t="str">
        <x:f>IF(I184="","",ROUND(I184+D184,2))</x:f>
      </x:c>
      <x:c r="K184" s="108" t="str">
        <x:f>IF(J184="","",MAX(ROUND(J184-H184,2),0))</x:f>
      </x:c>
      <x:c r="L184" s="108" t="str">
        <x:f>IF(A184="","",ROUND(E184*SETTINGS!$B$6,2))</x:f>
      </x:c>
      <x:c r="M184" s="108" t="str">
        <x:f>IF(A184="","",ROUND(K184*SETTINGS!$B$7,2))</x:f>
      </x:c>
      <x:c r="N184" s="108" t="str">
        <x:f>IF(A184="","",IF(K184&gt;0,ROUND(K184*SETTINGS!$B$8+SETTINGS!$B$9,2),0))</x:f>
      </x:c>
      <x:c r="O184" s="108" t="str">
        <x:f>IF(A184="","",IF(F184="Yes",ROUND(MIN(K184*SETTINGS!$B$13,SETTINGS!$B$14),2),0))</x:f>
      </x:c>
      <x:c r="P184" s="108" t="str">
        <x:f>IF(A184="","",ROUND(K184*SETTINGS!$B$15,2))</x:f>
      </x:c>
      <x:c r="Q184" s="108" t="str">
        <x:f>IF(A184="","",ROUND(SUM(L184:P184)+G184,2))</x:f>
      </x:c>
      <x:c r="R184" s="108" t="str">
        <x:f>IF(A184="","",ROUND(K184-Q184,2))</x:f>
      </x:c>
      <x:c r="S184" s="109" t="str">
        <x:f>IF(OR(A184="",K184=0),"",R184/K184)</x:f>
      </x:c>
      <x:c r="T184" s="110"/>
    </x:row>
    <x:row r="185" ht="23" customHeight="1">
      <x:c r="A185" s="105"/>
      <x:c r="B185" s="106"/>
      <x:c r="C185" s="107"/>
      <x:c r="D185" s="107"/>
      <x:c r="E185" s="106"/>
      <x:c r="F185" s="106"/>
      <x:c r="G185" s="107"/>
      <x:c r="H185" s="107"/>
      <x:c r="I185" s="108" t="str">
        <x:f>IF(OR(C185="",E185=""),"",ROUND(C185*E185,2))</x:f>
      </x:c>
      <x:c r="J185" s="108" t="str">
        <x:f>IF(I185="","",ROUND(I185+D185,2))</x:f>
      </x:c>
      <x:c r="K185" s="108" t="str">
        <x:f>IF(J185="","",MAX(ROUND(J185-H185,2),0))</x:f>
      </x:c>
      <x:c r="L185" s="108" t="str">
        <x:f>IF(A185="","",ROUND(E185*SETTINGS!$B$6,2))</x:f>
      </x:c>
      <x:c r="M185" s="108" t="str">
        <x:f>IF(A185="","",ROUND(K185*SETTINGS!$B$7,2))</x:f>
      </x:c>
      <x:c r="N185" s="108" t="str">
        <x:f>IF(A185="","",IF(K185&gt;0,ROUND(K185*SETTINGS!$B$8+SETTINGS!$B$9,2),0))</x:f>
      </x:c>
      <x:c r="O185" s="108" t="str">
        <x:f>IF(A185="","",IF(F185="Yes",ROUND(MIN(K185*SETTINGS!$B$13,SETTINGS!$B$14),2),0))</x:f>
      </x:c>
      <x:c r="P185" s="108" t="str">
        <x:f>IF(A185="","",ROUND(K185*SETTINGS!$B$15,2))</x:f>
      </x:c>
      <x:c r="Q185" s="108" t="str">
        <x:f>IF(A185="","",ROUND(SUM(L185:P185)+G185,2))</x:f>
      </x:c>
      <x:c r="R185" s="108" t="str">
        <x:f>IF(A185="","",ROUND(K185-Q185,2))</x:f>
      </x:c>
      <x:c r="S185" s="109" t="str">
        <x:f>IF(OR(A185="",K185=0),"",R185/K185)</x:f>
      </x:c>
      <x:c r="T185" s="110"/>
    </x:row>
    <x:row r="186" ht="23" customHeight="1">
      <x:c r="A186" s="105"/>
      <x:c r="B186" s="106"/>
      <x:c r="C186" s="107"/>
      <x:c r="D186" s="107"/>
      <x:c r="E186" s="106"/>
      <x:c r="F186" s="106"/>
      <x:c r="G186" s="107"/>
      <x:c r="H186" s="107"/>
      <x:c r="I186" s="108" t="str">
        <x:f>IF(OR(C186="",E186=""),"",ROUND(C186*E186,2))</x:f>
      </x:c>
      <x:c r="J186" s="108" t="str">
        <x:f>IF(I186="","",ROUND(I186+D186,2))</x:f>
      </x:c>
      <x:c r="K186" s="108" t="str">
        <x:f>IF(J186="","",MAX(ROUND(J186-H186,2),0))</x:f>
      </x:c>
      <x:c r="L186" s="108" t="str">
        <x:f>IF(A186="","",ROUND(E186*SETTINGS!$B$6,2))</x:f>
      </x:c>
      <x:c r="M186" s="108" t="str">
        <x:f>IF(A186="","",ROUND(K186*SETTINGS!$B$7,2))</x:f>
      </x:c>
      <x:c r="N186" s="108" t="str">
        <x:f>IF(A186="","",IF(K186&gt;0,ROUND(K186*SETTINGS!$B$8+SETTINGS!$B$9,2),0))</x:f>
      </x:c>
      <x:c r="O186" s="108" t="str">
        <x:f>IF(A186="","",IF(F186="Yes",ROUND(MIN(K186*SETTINGS!$B$13,SETTINGS!$B$14),2),0))</x:f>
      </x:c>
      <x:c r="P186" s="108" t="str">
        <x:f>IF(A186="","",ROUND(K186*SETTINGS!$B$15,2))</x:f>
      </x:c>
      <x:c r="Q186" s="108" t="str">
        <x:f>IF(A186="","",ROUND(SUM(L186:P186)+G186,2))</x:f>
      </x:c>
      <x:c r="R186" s="108" t="str">
        <x:f>IF(A186="","",ROUND(K186-Q186,2))</x:f>
      </x:c>
      <x:c r="S186" s="109" t="str">
        <x:f>IF(OR(A186="",K186=0),"",R186/K186)</x:f>
      </x:c>
      <x:c r="T186" s="110"/>
    </x:row>
    <x:row r="187" ht="23" customHeight="1">
      <x:c r="A187" s="105"/>
      <x:c r="B187" s="106"/>
      <x:c r="C187" s="107"/>
      <x:c r="D187" s="107"/>
      <x:c r="E187" s="106"/>
      <x:c r="F187" s="106"/>
      <x:c r="G187" s="107"/>
      <x:c r="H187" s="107"/>
      <x:c r="I187" s="108" t="str">
        <x:f>IF(OR(C187="",E187=""),"",ROUND(C187*E187,2))</x:f>
      </x:c>
      <x:c r="J187" s="108" t="str">
        <x:f>IF(I187="","",ROUND(I187+D187,2))</x:f>
      </x:c>
      <x:c r="K187" s="108" t="str">
        <x:f>IF(J187="","",MAX(ROUND(J187-H187,2),0))</x:f>
      </x:c>
      <x:c r="L187" s="108" t="str">
        <x:f>IF(A187="","",ROUND(E187*SETTINGS!$B$6,2))</x:f>
      </x:c>
      <x:c r="M187" s="108" t="str">
        <x:f>IF(A187="","",ROUND(K187*SETTINGS!$B$7,2))</x:f>
      </x:c>
      <x:c r="N187" s="108" t="str">
        <x:f>IF(A187="","",IF(K187&gt;0,ROUND(K187*SETTINGS!$B$8+SETTINGS!$B$9,2),0))</x:f>
      </x:c>
      <x:c r="O187" s="108" t="str">
        <x:f>IF(A187="","",IF(F187="Yes",ROUND(MIN(K187*SETTINGS!$B$13,SETTINGS!$B$14),2),0))</x:f>
      </x:c>
      <x:c r="P187" s="108" t="str">
        <x:f>IF(A187="","",ROUND(K187*SETTINGS!$B$15,2))</x:f>
      </x:c>
      <x:c r="Q187" s="108" t="str">
        <x:f>IF(A187="","",ROUND(SUM(L187:P187)+G187,2))</x:f>
      </x:c>
      <x:c r="R187" s="108" t="str">
        <x:f>IF(A187="","",ROUND(K187-Q187,2))</x:f>
      </x:c>
      <x:c r="S187" s="109" t="str">
        <x:f>IF(OR(A187="",K187=0),"",R187/K187)</x:f>
      </x:c>
      <x:c r="T187" s="110"/>
    </x:row>
    <x:row r="188" ht="23" customHeight="1">
      <x:c r="A188" s="105"/>
      <x:c r="B188" s="106"/>
      <x:c r="C188" s="107"/>
      <x:c r="D188" s="107"/>
      <x:c r="E188" s="106"/>
      <x:c r="F188" s="106"/>
      <x:c r="G188" s="107"/>
      <x:c r="H188" s="107"/>
      <x:c r="I188" s="108" t="str">
        <x:f>IF(OR(C188="",E188=""),"",ROUND(C188*E188,2))</x:f>
      </x:c>
      <x:c r="J188" s="108" t="str">
        <x:f>IF(I188="","",ROUND(I188+D188,2))</x:f>
      </x:c>
      <x:c r="K188" s="108" t="str">
        <x:f>IF(J188="","",MAX(ROUND(J188-H188,2),0))</x:f>
      </x:c>
      <x:c r="L188" s="108" t="str">
        <x:f>IF(A188="","",ROUND(E188*SETTINGS!$B$6,2))</x:f>
      </x:c>
      <x:c r="M188" s="108" t="str">
        <x:f>IF(A188="","",ROUND(K188*SETTINGS!$B$7,2))</x:f>
      </x:c>
      <x:c r="N188" s="108" t="str">
        <x:f>IF(A188="","",IF(K188&gt;0,ROUND(K188*SETTINGS!$B$8+SETTINGS!$B$9,2),0))</x:f>
      </x:c>
      <x:c r="O188" s="108" t="str">
        <x:f>IF(A188="","",IF(F188="Yes",ROUND(MIN(K188*SETTINGS!$B$13,SETTINGS!$B$14),2),0))</x:f>
      </x:c>
      <x:c r="P188" s="108" t="str">
        <x:f>IF(A188="","",ROUND(K188*SETTINGS!$B$15,2))</x:f>
      </x:c>
      <x:c r="Q188" s="108" t="str">
        <x:f>IF(A188="","",ROUND(SUM(L188:P188)+G188,2))</x:f>
      </x:c>
      <x:c r="R188" s="108" t="str">
        <x:f>IF(A188="","",ROUND(K188-Q188,2))</x:f>
      </x:c>
      <x:c r="S188" s="109" t="str">
        <x:f>IF(OR(A188="",K188=0),"",R188/K188)</x:f>
      </x:c>
      <x:c r="T188" s="110"/>
    </x:row>
    <x:row r="189" ht="23" customHeight="1">
      <x:c r="A189" s="105"/>
      <x:c r="B189" s="106"/>
      <x:c r="C189" s="107"/>
      <x:c r="D189" s="107"/>
      <x:c r="E189" s="106"/>
      <x:c r="F189" s="106"/>
      <x:c r="G189" s="107"/>
      <x:c r="H189" s="107"/>
      <x:c r="I189" s="108" t="str">
        <x:f>IF(OR(C189="",E189=""),"",ROUND(C189*E189,2))</x:f>
      </x:c>
      <x:c r="J189" s="108" t="str">
        <x:f>IF(I189="","",ROUND(I189+D189,2))</x:f>
      </x:c>
      <x:c r="K189" s="108" t="str">
        <x:f>IF(J189="","",MAX(ROUND(J189-H189,2),0))</x:f>
      </x:c>
      <x:c r="L189" s="108" t="str">
        <x:f>IF(A189="","",ROUND(E189*SETTINGS!$B$6,2))</x:f>
      </x:c>
      <x:c r="M189" s="108" t="str">
        <x:f>IF(A189="","",ROUND(K189*SETTINGS!$B$7,2))</x:f>
      </x:c>
      <x:c r="N189" s="108" t="str">
        <x:f>IF(A189="","",IF(K189&gt;0,ROUND(K189*SETTINGS!$B$8+SETTINGS!$B$9,2),0))</x:f>
      </x:c>
      <x:c r="O189" s="108" t="str">
        <x:f>IF(A189="","",IF(F189="Yes",ROUND(MIN(K189*SETTINGS!$B$13,SETTINGS!$B$14),2),0))</x:f>
      </x:c>
      <x:c r="P189" s="108" t="str">
        <x:f>IF(A189="","",ROUND(K189*SETTINGS!$B$15,2))</x:f>
      </x:c>
      <x:c r="Q189" s="108" t="str">
        <x:f>IF(A189="","",ROUND(SUM(L189:P189)+G189,2))</x:f>
      </x:c>
      <x:c r="R189" s="108" t="str">
        <x:f>IF(A189="","",ROUND(K189-Q189,2))</x:f>
      </x:c>
      <x:c r="S189" s="109" t="str">
        <x:f>IF(OR(A189="",K189=0),"",R189/K189)</x:f>
      </x:c>
      <x:c r="T189" s="110"/>
    </x:row>
    <x:row r="190" ht="23" customHeight="1">
      <x:c r="A190" s="105"/>
      <x:c r="B190" s="106"/>
      <x:c r="C190" s="107"/>
      <x:c r="D190" s="107"/>
      <x:c r="E190" s="106"/>
      <x:c r="F190" s="106"/>
      <x:c r="G190" s="107"/>
      <x:c r="H190" s="107"/>
      <x:c r="I190" s="108" t="str">
        <x:f>IF(OR(C190="",E190=""),"",ROUND(C190*E190,2))</x:f>
      </x:c>
      <x:c r="J190" s="108" t="str">
        <x:f>IF(I190="","",ROUND(I190+D190,2))</x:f>
      </x:c>
      <x:c r="K190" s="108" t="str">
        <x:f>IF(J190="","",MAX(ROUND(J190-H190,2),0))</x:f>
      </x:c>
      <x:c r="L190" s="108" t="str">
        <x:f>IF(A190="","",ROUND(E190*SETTINGS!$B$6,2))</x:f>
      </x:c>
      <x:c r="M190" s="108" t="str">
        <x:f>IF(A190="","",ROUND(K190*SETTINGS!$B$7,2))</x:f>
      </x:c>
      <x:c r="N190" s="108" t="str">
        <x:f>IF(A190="","",IF(K190&gt;0,ROUND(K190*SETTINGS!$B$8+SETTINGS!$B$9,2),0))</x:f>
      </x:c>
      <x:c r="O190" s="108" t="str">
        <x:f>IF(A190="","",IF(F190="Yes",ROUND(MIN(K190*SETTINGS!$B$13,SETTINGS!$B$14),2),0))</x:f>
      </x:c>
      <x:c r="P190" s="108" t="str">
        <x:f>IF(A190="","",ROUND(K190*SETTINGS!$B$15,2))</x:f>
      </x:c>
      <x:c r="Q190" s="108" t="str">
        <x:f>IF(A190="","",ROUND(SUM(L190:P190)+G190,2))</x:f>
      </x:c>
      <x:c r="R190" s="108" t="str">
        <x:f>IF(A190="","",ROUND(K190-Q190,2))</x:f>
      </x:c>
      <x:c r="S190" s="109" t="str">
        <x:f>IF(OR(A190="",K190=0),"",R190/K190)</x:f>
      </x:c>
      <x:c r="T190" s="110"/>
    </x:row>
    <x:row r="191" ht="23" customHeight="1">
      <x:c r="A191" s="105"/>
      <x:c r="B191" s="106"/>
      <x:c r="C191" s="107"/>
      <x:c r="D191" s="107"/>
      <x:c r="E191" s="106"/>
      <x:c r="F191" s="106"/>
      <x:c r="G191" s="107"/>
      <x:c r="H191" s="107"/>
      <x:c r="I191" s="108" t="str">
        <x:f>IF(OR(C191="",E191=""),"",ROUND(C191*E191,2))</x:f>
      </x:c>
      <x:c r="J191" s="108" t="str">
        <x:f>IF(I191="","",ROUND(I191+D191,2))</x:f>
      </x:c>
      <x:c r="K191" s="108" t="str">
        <x:f>IF(J191="","",MAX(ROUND(J191-H191,2),0))</x:f>
      </x:c>
      <x:c r="L191" s="108" t="str">
        <x:f>IF(A191="","",ROUND(E191*SETTINGS!$B$6,2))</x:f>
      </x:c>
      <x:c r="M191" s="108" t="str">
        <x:f>IF(A191="","",ROUND(K191*SETTINGS!$B$7,2))</x:f>
      </x:c>
      <x:c r="N191" s="108" t="str">
        <x:f>IF(A191="","",IF(K191&gt;0,ROUND(K191*SETTINGS!$B$8+SETTINGS!$B$9,2),0))</x:f>
      </x:c>
      <x:c r="O191" s="108" t="str">
        <x:f>IF(A191="","",IF(F191="Yes",ROUND(MIN(K191*SETTINGS!$B$13,SETTINGS!$B$14),2),0))</x:f>
      </x:c>
      <x:c r="P191" s="108" t="str">
        <x:f>IF(A191="","",ROUND(K191*SETTINGS!$B$15,2))</x:f>
      </x:c>
      <x:c r="Q191" s="108" t="str">
        <x:f>IF(A191="","",ROUND(SUM(L191:P191)+G191,2))</x:f>
      </x:c>
      <x:c r="R191" s="108" t="str">
        <x:f>IF(A191="","",ROUND(K191-Q191,2))</x:f>
      </x:c>
      <x:c r="S191" s="109" t="str">
        <x:f>IF(OR(A191="",K191=0),"",R191/K191)</x:f>
      </x:c>
      <x:c r="T191" s="110"/>
    </x:row>
    <x:row r="192" ht="23" customHeight="1">
      <x:c r="A192" s="105"/>
      <x:c r="B192" s="106"/>
      <x:c r="C192" s="107"/>
      <x:c r="D192" s="107"/>
      <x:c r="E192" s="106"/>
      <x:c r="F192" s="106"/>
      <x:c r="G192" s="107"/>
      <x:c r="H192" s="107"/>
      <x:c r="I192" s="108" t="str">
        <x:f>IF(OR(C192="",E192=""),"",ROUND(C192*E192,2))</x:f>
      </x:c>
      <x:c r="J192" s="108" t="str">
        <x:f>IF(I192="","",ROUND(I192+D192,2))</x:f>
      </x:c>
      <x:c r="K192" s="108" t="str">
        <x:f>IF(J192="","",MAX(ROUND(J192-H192,2),0))</x:f>
      </x:c>
      <x:c r="L192" s="108" t="str">
        <x:f>IF(A192="","",ROUND(E192*SETTINGS!$B$6,2))</x:f>
      </x:c>
      <x:c r="M192" s="108" t="str">
        <x:f>IF(A192="","",ROUND(K192*SETTINGS!$B$7,2))</x:f>
      </x:c>
      <x:c r="N192" s="108" t="str">
        <x:f>IF(A192="","",IF(K192&gt;0,ROUND(K192*SETTINGS!$B$8+SETTINGS!$B$9,2),0))</x:f>
      </x:c>
      <x:c r="O192" s="108" t="str">
        <x:f>IF(A192="","",IF(F192="Yes",ROUND(MIN(K192*SETTINGS!$B$13,SETTINGS!$B$14),2),0))</x:f>
      </x:c>
      <x:c r="P192" s="108" t="str">
        <x:f>IF(A192="","",ROUND(K192*SETTINGS!$B$15,2))</x:f>
      </x:c>
      <x:c r="Q192" s="108" t="str">
        <x:f>IF(A192="","",ROUND(SUM(L192:P192)+G192,2))</x:f>
      </x:c>
      <x:c r="R192" s="108" t="str">
        <x:f>IF(A192="","",ROUND(K192-Q192,2))</x:f>
      </x:c>
      <x:c r="S192" s="109" t="str">
        <x:f>IF(OR(A192="",K192=0),"",R192/K192)</x:f>
      </x:c>
      <x:c r="T192" s="110"/>
    </x:row>
    <x:row r="193" ht="23" customHeight="1">
      <x:c r="A193" s="105"/>
      <x:c r="B193" s="106"/>
      <x:c r="C193" s="107"/>
      <x:c r="D193" s="107"/>
      <x:c r="E193" s="106"/>
      <x:c r="F193" s="106"/>
      <x:c r="G193" s="107"/>
      <x:c r="H193" s="107"/>
      <x:c r="I193" s="108" t="str">
        <x:f>IF(OR(C193="",E193=""),"",ROUND(C193*E193,2))</x:f>
      </x:c>
      <x:c r="J193" s="108" t="str">
        <x:f>IF(I193="","",ROUND(I193+D193,2))</x:f>
      </x:c>
      <x:c r="K193" s="108" t="str">
        <x:f>IF(J193="","",MAX(ROUND(J193-H193,2),0))</x:f>
      </x:c>
      <x:c r="L193" s="108" t="str">
        <x:f>IF(A193="","",ROUND(E193*SETTINGS!$B$6,2))</x:f>
      </x:c>
      <x:c r="M193" s="108" t="str">
        <x:f>IF(A193="","",ROUND(K193*SETTINGS!$B$7,2))</x:f>
      </x:c>
      <x:c r="N193" s="108" t="str">
        <x:f>IF(A193="","",IF(K193&gt;0,ROUND(K193*SETTINGS!$B$8+SETTINGS!$B$9,2),0))</x:f>
      </x:c>
      <x:c r="O193" s="108" t="str">
        <x:f>IF(A193="","",IF(F193="Yes",ROUND(MIN(K193*SETTINGS!$B$13,SETTINGS!$B$14),2),0))</x:f>
      </x:c>
      <x:c r="P193" s="108" t="str">
        <x:f>IF(A193="","",ROUND(K193*SETTINGS!$B$15,2))</x:f>
      </x:c>
      <x:c r="Q193" s="108" t="str">
        <x:f>IF(A193="","",ROUND(SUM(L193:P193)+G193,2))</x:f>
      </x:c>
      <x:c r="R193" s="108" t="str">
        <x:f>IF(A193="","",ROUND(K193-Q193,2))</x:f>
      </x:c>
      <x:c r="S193" s="109" t="str">
        <x:f>IF(OR(A193="",K193=0),"",R193/K193)</x:f>
      </x:c>
      <x:c r="T193" s="110"/>
    </x:row>
    <x:row r="194" ht="23" customHeight="1">
      <x:c r="A194" s="105"/>
      <x:c r="B194" s="106"/>
      <x:c r="C194" s="107"/>
      <x:c r="D194" s="107"/>
      <x:c r="E194" s="106"/>
      <x:c r="F194" s="106"/>
      <x:c r="G194" s="107"/>
      <x:c r="H194" s="107"/>
      <x:c r="I194" s="108" t="str">
        <x:f>IF(OR(C194="",E194=""),"",ROUND(C194*E194,2))</x:f>
      </x:c>
      <x:c r="J194" s="108" t="str">
        <x:f>IF(I194="","",ROUND(I194+D194,2))</x:f>
      </x:c>
      <x:c r="K194" s="108" t="str">
        <x:f>IF(J194="","",MAX(ROUND(J194-H194,2),0))</x:f>
      </x:c>
      <x:c r="L194" s="108" t="str">
        <x:f>IF(A194="","",ROUND(E194*SETTINGS!$B$6,2))</x:f>
      </x:c>
      <x:c r="M194" s="108" t="str">
        <x:f>IF(A194="","",ROUND(K194*SETTINGS!$B$7,2))</x:f>
      </x:c>
      <x:c r="N194" s="108" t="str">
        <x:f>IF(A194="","",IF(K194&gt;0,ROUND(K194*SETTINGS!$B$8+SETTINGS!$B$9,2),0))</x:f>
      </x:c>
      <x:c r="O194" s="108" t="str">
        <x:f>IF(A194="","",IF(F194="Yes",ROUND(MIN(K194*SETTINGS!$B$13,SETTINGS!$B$14),2),0))</x:f>
      </x:c>
      <x:c r="P194" s="108" t="str">
        <x:f>IF(A194="","",ROUND(K194*SETTINGS!$B$15,2))</x:f>
      </x:c>
      <x:c r="Q194" s="108" t="str">
        <x:f>IF(A194="","",ROUND(SUM(L194:P194)+G194,2))</x:f>
      </x:c>
      <x:c r="R194" s="108" t="str">
        <x:f>IF(A194="","",ROUND(K194-Q194,2))</x:f>
      </x:c>
      <x:c r="S194" s="109" t="str">
        <x:f>IF(OR(A194="",K194=0),"",R194/K194)</x:f>
      </x:c>
      <x:c r="T194" s="110"/>
    </x:row>
    <x:row r="195" ht="23" customHeight="1">
      <x:c r="A195" s="105"/>
      <x:c r="B195" s="106"/>
      <x:c r="C195" s="107"/>
      <x:c r="D195" s="107"/>
      <x:c r="E195" s="106"/>
      <x:c r="F195" s="106"/>
      <x:c r="G195" s="107"/>
      <x:c r="H195" s="107"/>
      <x:c r="I195" s="108" t="str">
        <x:f>IF(OR(C195="",E195=""),"",ROUND(C195*E195,2))</x:f>
      </x:c>
      <x:c r="J195" s="108" t="str">
        <x:f>IF(I195="","",ROUND(I195+D195,2))</x:f>
      </x:c>
      <x:c r="K195" s="108" t="str">
        <x:f>IF(J195="","",MAX(ROUND(J195-H195,2),0))</x:f>
      </x:c>
      <x:c r="L195" s="108" t="str">
        <x:f>IF(A195="","",ROUND(E195*SETTINGS!$B$6,2))</x:f>
      </x:c>
      <x:c r="M195" s="108" t="str">
        <x:f>IF(A195="","",ROUND(K195*SETTINGS!$B$7,2))</x:f>
      </x:c>
      <x:c r="N195" s="108" t="str">
        <x:f>IF(A195="","",IF(K195&gt;0,ROUND(K195*SETTINGS!$B$8+SETTINGS!$B$9,2),0))</x:f>
      </x:c>
      <x:c r="O195" s="108" t="str">
        <x:f>IF(A195="","",IF(F195="Yes",ROUND(MIN(K195*SETTINGS!$B$13,SETTINGS!$B$14),2),0))</x:f>
      </x:c>
      <x:c r="P195" s="108" t="str">
        <x:f>IF(A195="","",ROUND(K195*SETTINGS!$B$15,2))</x:f>
      </x:c>
      <x:c r="Q195" s="108" t="str">
        <x:f>IF(A195="","",ROUND(SUM(L195:P195)+G195,2))</x:f>
      </x:c>
      <x:c r="R195" s="108" t="str">
        <x:f>IF(A195="","",ROUND(K195-Q195,2))</x:f>
      </x:c>
      <x:c r="S195" s="109" t="str">
        <x:f>IF(OR(A195="",K195=0),"",R195/K195)</x:f>
      </x:c>
      <x:c r="T195" s="110"/>
    </x:row>
    <x:row r="196" ht="23" customHeight="1">
      <x:c r="A196" s="105"/>
      <x:c r="B196" s="106"/>
      <x:c r="C196" s="107"/>
      <x:c r="D196" s="107"/>
      <x:c r="E196" s="106"/>
      <x:c r="F196" s="106"/>
      <x:c r="G196" s="107"/>
      <x:c r="H196" s="107"/>
      <x:c r="I196" s="108" t="str">
        <x:f>IF(OR(C196="",E196=""),"",ROUND(C196*E196,2))</x:f>
      </x:c>
      <x:c r="J196" s="108" t="str">
        <x:f>IF(I196="","",ROUND(I196+D196,2))</x:f>
      </x:c>
      <x:c r="K196" s="108" t="str">
        <x:f>IF(J196="","",MAX(ROUND(J196-H196,2),0))</x:f>
      </x:c>
      <x:c r="L196" s="108" t="str">
        <x:f>IF(A196="","",ROUND(E196*SETTINGS!$B$6,2))</x:f>
      </x:c>
      <x:c r="M196" s="108" t="str">
        <x:f>IF(A196="","",ROUND(K196*SETTINGS!$B$7,2))</x:f>
      </x:c>
      <x:c r="N196" s="108" t="str">
        <x:f>IF(A196="","",IF(K196&gt;0,ROUND(K196*SETTINGS!$B$8+SETTINGS!$B$9,2),0))</x:f>
      </x:c>
      <x:c r="O196" s="108" t="str">
        <x:f>IF(A196="","",IF(F196="Yes",ROUND(MIN(K196*SETTINGS!$B$13,SETTINGS!$B$14),2),0))</x:f>
      </x:c>
      <x:c r="P196" s="108" t="str">
        <x:f>IF(A196="","",ROUND(K196*SETTINGS!$B$15,2))</x:f>
      </x:c>
      <x:c r="Q196" s="108" t="str">
        <x:f>IF(A196="","",ROUND(SUM(L196:P196)+G196,2))</x:f>
      </x:c>
      <x:c r="R196" s="108" t="str">
        <x:f>IF(A196="","",ROUND(K196-Q196,2))</x:f>
      </x:c>
      <x:c r="S196" s="109" t="str">
        <x:f>IF(OR(A196="",K196=0),"",R196/K196)</x:f>
      </x:c>
      <x:c r="T196" s="110"/>
    </x:row>
    <x:row r="197" ht="23" customHeight="1">
      <x:c r="A197" s="105"/>
      <x:c r="B197" s="106"/>
      <x:c r="C197" s="107"/>
      <x:c r="D197" s="107"/>
      <x:c r="E197" s="106"/>
      <x:c r="F197" s="106"/>
      <x:c r="G197" s="107"/>
      <x:c r="H197" s="107"/>
      <x:c r="I197" s="108" t="str">
        <x:f>IF(OR(C197="",E197=""),"",ROUND(C197*E197,2))</x:f>
      </x:c>
      <x:c r="J197" s="108" t="str">
        <x:f>IF(I197="","",ROUND(I197+D197,2))</x:f>
      </x:c>
      <x:c r="K197" s="108" t="str">
        <x:f>IF(J197="","",MAX(ROUND(J197-H197,2),0))</x:f>
      </x:c>
      <x:c r="L197" s="108" t="str">
        <x:f>IF(A197="","",ROUND(E197*SETTINGS!$B$6,2))</x:f>
      </x:c>
      <x:c r="M197" s="108" t="str">
        <x:f>IF(A197="","",ROUND(K197*SETTINGS!$B$7,2))</x:f>
      </x:c>
      <x:c r="N197" s="108" t="str">
        <x:f>IF(A197="","",IF(K197&gt;0,ROUND(K197*SETTINGS!$B$8+SETTINGS!$B$9,2),0))</x:f>
      </x:c>
      <x:c r="O197" s="108" t="str">
        <x:f>IF(A197="","",IF(F197="Yes",ROUND(MIN(K197*SETTINGS!$B$13,SETTINGS!$B$14),2),0))</x:f>
      </x:c>
      <x:c r="P197" s="108" t="str">
        <x:f>IF(A197="","",ROUND(K197*SETTINGS!$B$15,2))</x:f>
      </x:c>
      <x:c r="Q197" s="108" t="str">
        <x:f>IF(A197="","",ROUND(SUM(L197:P197)+G197,2))</x:f>
      </x:c>
      <x:c r="R197" s="108" t="str">
        <x:f>IF(A197="","",ROUND(K197-Q197,2))</x:f>
      </x:c>
      <x:c r="S197" s="109" t="str">
        <x:f>IF(OR(A197="",K197=0),"",R197/K197)</x:f>
      </x:c>
      <x:c r="T197" s="110"/>
    </x:row>
    <x:row r="198" ht="23" customHeight="1">
      <x:c r="A198" s="105"/>
      <x:c r="B198" s="106"/>
      <x:c r="C198" s="107"/>
      <x:c r="D198" s="107"/>
      <x:c r="E198" s="106"/>
      <x:c r="F198" s="106"/>
      <x:c r="G198" s="107"/>
      <x:c r="H198" s="107"/>
      <x:c r="I198" s="108" t="str">
        <x:f>IF(OR(C198="",E198=""),"",ROUND(C198*E198,2))</x:f>
      </x:c>
      <x:c r="J198" s="108" t="str">
        <x:f>IF(I198="","",ROUND(I198+D198,2))</x:f>
      </x:c>
      <x:c r="K198" s="108" t="str">
        <x:f>IF(J198="","",MAX(ROUND(J198-H198,2),0))</x:f>
      </x:c>
      <x:c r="L198" s="108" t="str">
        <x:f>IF(A198="","",ROUND(E198*SETTINGS!$B$6,2))</x:f>
      </x:c>
      <x:c r="M198" s="108" t="str">
        <x:f>IF(A198="","",ROUND(K198*SETTINGS!$B$7,2))</x:f>
      </x:c>
      <x:c r="N198" s="108" t="str">
        <x:f>IF(A198="","",IF(K198&gt;0,ROUND(K198*SETTINGS!$B$8+SETTINGS!$B$9,2),0))</x:f>
      </x:c>
      <x:c r="O198" s="108" t="str">
        <x:f>IF(A198="","",IF(F198="Yes",ROUND(MIN(K198*SETTINGS!$B$13,SETTINGS!$B$14),2),0))</x:f>
      </x:c>
      <x:c r="P198" s="108" t="str">
        <x:f>IF(A198="","",ROUND(K198*SETTINGS!$B$15,2))</x:f>
      </x:c>
      <x:c r="Q198" s="108" t="str">
        <x:f>IF(A198="","",ROUND(SUM(L198:P198)+G198,2))</x:f>
      </x:c>
      <x:c r="R198" s="108" t="str">
        <x:f>IF(A198="","",ROUND(K198-Q198,2))</x:f>
      </x:c>
      <x:c r="S198" s="109" t="str">
        <x:f>IF(OR(A198="",K198=0),"",R198/K198)</x:f>
      </x:c>
      <x:c r="T198" s="110"/>
    </x:row>
    <x:row r="199" ht="23" customHeight="1">
      <x:c r="A199" s="105"/>
      <x:c r="B199" s="106"/>
      <x:c r="C199" s="107"/>
      <x:c r="D199" s="107"/>
      <x:c r="E199" s="106"/>
      <x:c r="F199" s="106"/>
      <x:c r="G199" s="107"/>
      <x:c r="H199" s="107"/>
      <x:c r="I199" s="108" t="str">
        <x:f>IF(OR(C199="",E199=""),"",ROUND(C199*E199,2))</x:f>
      </x:c>
      <x:c r="J199" s="108" t="str">
        <x:f>IF(I199="","",ROUND(I199+D199,2))</x:f>
      </x:c>
      <x:c r="K199" s="108" t="str">
        <x:f>IF(J199="","",MAX(ROUND(J199-H199,2),0))</x:f>
      </x:c>
      <x:c r="L199" s="108" t="str">
        <x:f>IF(A199="","",ROUND(E199*SETTINGS!$B$6,2))</x:f>
      </x:c>
      <x:c r="M199" s="108" t="str">
        <x:f>IF(A199="","",ROUND(K199*SETTINGS!$B$7,2))</x:f>
      </x:c>
      <x:c r="N199" s="108" t="str">
        <x:f>IF(A199="","",IF(K199&gt;0,ROUND(K199*SETTINGS!$B$8+SETTINGS!$B$9,2),0))</x:f>
      </x:c>
      <x:c r="O199" s="108" t="str">
        <x:f>IF(A199="","",IF(F199="Yes",ROUND(MIN(K199*SETTINGS!$B$13,SETTINGS!$B$14),2),0))</x:f>
      </x:c>
      <x:c r="P199" s="108" t="str">
        <x:f>IF(A199="","",ROUND(K199*SETTINGS!$B$15,2))</x:f>
      </x:c>
      <x:c r="Q199" s="108" t="str">
        <x:f>IF(A199="","",ROUND(SUM(L199:P199)+G199,2))</x:f>
      </x:c>
      <x:c r="R199" s="108" t="str">
        <x:f>IF(A199="","",ROUND(K199-Q199,2))</x:f>
      </x:c>
      <x:c r="S199" s="109" t="str">
        <x:f>IF(OR(A199="",K199=0),"",R199/K199)</x:f>
      </x:c>
      <x:c r="T199" s="110"/>
    </x:row>
    <x:row r="200" ht="23" customHeight="1">
      <x:c r="A200" s="105"/>
      <x:c r="B200" s="106"/>
      <x:c r="C200" s="107"/>
      <x:c r="D200" s="107"/>
      <x:c r="E200" s="106"/>
      <x:c r="F200" s="106"/>
      <x:c r="G200" s="107"/>
      <x:c r="H200" s="107"/>
      <x:c r="I200" s="108" t="str">
        <x:f>IF(OR(C200="",E200=""),"",ROUND(C200*E200,2))</x:f>
      </x:c>
      <x:c r="J200" s="108" t="str">
        <x:f>IF(I200="","",ROUND(I200+D200,2))</x:f>
      </x:c>
      <x:c r="K200" s="108" t="str">
        <x:f>IF(J200="","",MAX(ROUND(J200-H200,2),0))</x:f>
      </x:c>
      <x:c r="L200" s="108" t="str">
        <x:f>IF(A200="","",ROUND(E200*SETTINGS!$B$6,2))</x:f>
      </x:c>
      <x:c r="M200" s="108" t="str">
        <x:f>IF(A200="","",ROUND(K200*SETTINGS!$B$7,2))</x:f>
      </x:c>
      <x:c r="N200" s="108" t="str">
        <x:f>IF(A200="","",IF(K200&gt;0,ROUND(K200*SETTINGS!$B$8+SETTINGS!$B$9,2),0))</x:f>
      </x:c>
      <x:c r="O200" s="108" t="str">
        <x:f>IF(A200="","",IF(F200="Yes",ROUND(MIN(K200*SETTINGS!$B$13,SETTINGS!$B$14),2),0))</x:f>
      </x:c>
      <x:c r="P200" s="108" t="str">
        <x:f>IF(A200="","",ROUND(K200*SETTINGS!$B$15,2))</x:f>
      </x:c>
      <x:c r="Q200" s="108" t="str">
        <x:f>IF(A200="","",ROUND(SUM(L200:P200)+G200,2))</x:f>
      </x:c>
      <x:c r="R200" s="108" t="str">
        <x:f>IF(A200="","",ROUND(K200-Q200,2))</x:f>
      </x:c>
      <x:c r="S200" s="109" t="str">
        <x:f>IF(OR(A200="",K200=0),"",R200/K200)</x:f>
      </x:c>
      <x:c r="T200" s="110"/>
    </x:row>
    <x:row r="201" ht="23" customHeight="1">
      <x:c r="A201" s="105"/>
      <x:c r="B201" s="106"/>
      <x:c r="C201" s="107"/>
      <x:c r="D201" s="107"/>
      <x:c r="E201" s="106"/>
      <x:c r="F201" s="106"/>
      <x:c r="G201" s="107"/>
      <x:c r="H201" s="107"/>
      <x:c r="I201" s="108" t="str">
        <x:f>IF(OR(C201="",E201=""),"",ROUND(C201*E201,2))</x:f>
      </x:c>
      <x:c r="J201" s="108" t="str">
        <x:f>IF(I201="","",ROUND(I201+D201,2))</x:f>
      </x:c>
      <x:c r="K201" s="108" t="str">
        <x:f>IF(J201="","",MAX(ROUND(J201-H201,2),0))</x:f>
      </x:c>
      <x:c r="L201" s="108" t="str">
        <x:f>IF(A201="","",ROUND(E201*SETTINGS!$B$6,2))</x:f>
      </x:c>
      <x:c r="M201" s="108" t="str">
        <x:f>IF(A201="","",ROUND(K201*SETTINGS!$B$7,2))</x:f>
      </x:c>
      <x:c r="N201" s="108" t="str">
        <x:f>IF(A201="","",IF(K201&gt;0,ROUND(K201*SETTINGS!$B$8+SETTINGS!$B$9,2),0))</x:f>
      </x:c>
      <x:c r="O201" s="108" t="str">
        <x:f>IF(A201="","",IF(F201="Yes",ROUND(MIN(K201*SETTINGS!$B$13,SETTINGS!$B$14),2),0))</x:f>
      </x:c>
      <x:c r="P201" s="108" t="str">
        <x:f>IF(A201="","",ROUND(K201*SETTINGS!$B$15,2))</x:f>
      </x:c>
      <x:c r="Q201" s="108" t="str">
        <x:f>IF(A201="","",ROUND(SUM(L201:P201)+G201,2))</x:f>
      </x:c>
      <x:c r="R201" s="108" t="str">
        <x:f>IF(A201="","",ROUND(K201-Q201,2))</x:f>
      </x:c>
      <x:c r="S201" s="109" t="str">
        <x:f>IF(OR(A201="",K201=0),"",R201/K201)</x:f>
      </x:c>
      <x:c r="T201" s="110"/>
    </x:row>
    <x:row r="202" ht="23" customHeight="1">
      <x:c r="A202" s="105"/>
      <x:c r="B202" s="106"/>
      <x:c r="C202" s="107"/>
      <x:c r="D202" s="107"/>
      <x:c r="E202" s="106"/>
      <x:c r="F202" s="106"/>
      <x:c r="G202" s="107"/>
      <x:c r="H202" s="107"/>
      <x:c r="I202" s="108" t="str">
        <x:f>IF(OR(C202="",E202=""),"",ROUND(C202*E202,2))</x:f>
      </x:c>
      <x:c r="J202" s="108" t="str">
        <x:f>IF(I202="","",ROUND(I202+D202,2))</x:f>
      </x:c>
      <x:c r="K202" s="108" t="str">
        <x:f>IF(J202="","",MAX(ROUND(J202-H202,2),0))</x:f>
      </x:c>
      <x:c r="L202" s="108" t="str">
        <x:f>IF(A202="","",ROUND(E202*SETTINGS!$B$6,2))</x:f>
      </x:c>
      <x:c r="M202" s="108" t="str">
        <x:f>IF(A202="","",ROUND(K202*SETTINGS!$B$7,2))</x:f>
      </x:c>
      <x:c r="N202" s="108" t="str">
        <x:f>IF(A202="","",IF(K202&gt;0,ROUND(K202*SETTINGS!$B$8+SETTINGS!$B$9,2),0))</x:f>
      </x:c>
      <x:c r="O202" s="108" t="str">
        <x:f>IF(A202="","",IF(F202="Yes",ROUND(MIN(K202*SETTINGS!$B$13,SETTINGS!$B$14),2),0))</x:f>
      </x:c>
      <x:c r="P202" s="108" t="str">
        <x:f>IF(A202="","",ROUND(K202*SETTINGS!$B$15,2))</x:f>
      </x:c>
      <x:c r="Q202" s="108" t="str">
        <x:f>IF(A202="","",ROUND(SUM(L202:P202)+G202,2))</x:f>
      </x:c>
      <x:c r="R202" s="108" t="str">
        <x:f>IF(A202="","",ROUND(K202-Q202,2))</x:f>
      </x:c>
      <x:c r="S202" s="109" t="str">
        <x:f>IF(OR(A202="",K202=0),"",R202/K202)</x:f>
      </x:c>
      <x:c r="T202" s="110"/>
    </x:row>
    <x:row r="203" ht="23" customHeight="1">
      <x:c r="A203" s="105"/>
      <x:c r="B203" s="106"/>
      <x:c r="C203" s="107"/>
      <x:c r="D203" s="107"/>
      <x:c r="E203" s="106"/>
      <x:c r="F203" s="106"/>
      <x:c r="G203" s="107"/>
      <x:c r="H203" s="107"/>
      <x:c r="I203" s="108" t="str">
        <x:f>IF(OR(C203="",E203=""),"",ROUND(C203*E203,2))</x:f>
      </x:c>
      <x:c r="J203" s="108" t="str">
        <x:f>IF(I203="","",ROUND(I203+D203,2))</x:f>
      </x:c>
      <x:c r="K203" s="108" t="str">
        <x:f>IF(J203="","",MAX(ROUND(J203-H203,2),0))</x:f>
      </x:c>
      <x:c r="L203" s="108" t="str">
        <x:f>IF(A203="","",ROUND(E203*SETTINGS!$B$6,2))</x:f>
      </x:c>
      <x:c r="M203" s="108" t="str">
        <x:f>IF(A203="","",ROUND(K203*SETTINGS!$B$7,2))</x:f>
      </x:c>
      <x:c r="N203" s="108" t="str">
        <x:f>IF(A203="","",IF(K203&gt;0,ROUND(K203*SETTINGS!$B$8+SETTINGS!$B$9,2),0))</x:f>
      </x:c>
      <x:c r="O203" s="108" t="str">
        <x:f>IF(A203="","",IF(F203="Yes",ROUND(MIN(K203*SETTINGS!$B$13,SETTINGS!$B$14),2),0))</x:f>
      </x:c>
      <x:c r="P203" s="108" t="str">
        <x:f>IF(A203="","",ROUND(K203*SETTINGS!$B$15,2))</x:f>
      </x:c>
      <x:c r="Q203" s="108" t="str">
        <x:f>IF(A203="","",ROUND(SUM(L203:P203)+G203,2))</x:f>
      </x:c>
      <x:c r="R203" s="108" t="str">
        <x:f>IF(A203="","",ROUND(K203-Q203,2))</x:f>
      </x:c>
      <x:c r="S203" s="109" t="str">
        <x:f>IF(OR(A203="",K203=0),"",R203/K203)</x:f>
      </x:c>
      <x:c r="T203" s="110"/>
    </x:row>
    <x:row r="204" ht="23" customHeight="1">
      <x:c r="A204" s="105"/>
      <x:c r="B204" s="106"/>
      <x:c r="C204" s="107"/>
      <x:c r="D204" s="107"/>
      <x:c r="E204" s="106"/>
      <x:c r="F204" s="106"/>
      <x:c r="G204" s="107"/>
      <x:c r="H204" s="107"/>
      <x:c r="I204" s="108" t="str">
        <x:f>IF(OR(C204="",E204=""),"",ROUND(C204*E204,2))</x:f>
      </x:c>
      <x:c r="J204" s="108" t="str">
        <x:f>IF(I204="","",ROUND(I204+D204,2))</x:f>
      </x:c>
      <x:c r="K204" s="108" t="str">
        <x:f>IF(J204="","",MAX(ROUND(J204-H204,2),0))</x:f>
      </x:c>
      <x:c r="L204" s="108" t="str">
        <x:f>IF(A204="","",ROUND(E204*SETTINGS!$B$6,2))</x:f>
      </x:c>
      <x:c r="M204" s="108" t="str">
        <x:f>IF(A204="","",ROUND(K204*SETTINGS!$B$7,2))</x:f>
      </x:c>
      <x:c r="N204" s="108" t="str">
        <x:f>IF(A204="","",IF(K204&gt;0,ROUND(K204*SETTINGS!$B$8+SETTINGS!$B$9,2),0))</x:f>
      </x:c>
      <x:c r="O204" s="108" t="str">
        <x:f>IF(A204="","",IF(F204="Yes",ROUND(MIN(K204*SETTINGS!$B$13,SETTINGS!$B$14),2),0))</x:f>
      </x:c>
      <x:c r="P204" s="108" t="str">
        <x:f>IF(A204="","",ROUND(K204*SETTINGS!$B$15,2))</x:f>
      </x:c>
      <x:c r="Q204" s="108" t="str">
        <x:f>IF(A204="","",ROUND(SUM(L204:P204)+G204,2))</x:f>
      </x:c>
      <x:c r="R204" s="108" t="str">
        <x:f>IF(A204="","",ROUND(K204-Q204,2))</x:f>
      </x:c>
      <x:c r="S204" s="109" t="str">
        <x:f>IF(OR(A204="",K204=0),"",R204/K204)</x:f>
      </x:c>
      <x:c r="T204" s="110"/>
    </x:row>
    <x:row r="205" ht="23" customHeight="1">
      <x:c r="A205" s="111"/>
      <x:c r="B205" s="112"/>
      <x:c r="C205" s="113"/>
      <x:c r="D205" s="113"/>
      <x:c r="E205" s="112"/>
      <x:c r="F205" s="112"/>
      <x:c r="G205" s="113"/>
      <x:c r="H205" s="113"/>
      <x:c r="I205" s="114" t="str">
        <x:f>IF(OR(C205="",E205=""),"",ROUND(C205*E205,2))</x:f>
      </x:c>
      <x:c r="J205" s="114" t="str">
        <x:f>IF(I205="","",ROUND(I205+D205,2))</x:f>
      </x:c>
      <x:c r="K205" s="114" t="str">
        <x:f>IF(J205="","",MAX(ROUND(J205-H205,2),0))</x:f>
      </x:c>
      <x:c r="L205" s="114" t="str">
        <x:f>IF(A205="","",ROUND(E205*SETTINGS!$B$6,2))</x:f>
      </x:c>
      <x:c r="M205" s="114" t="str">
        <x:f>IF(A205="","",ROUND(K205*SETTINGS!$B$7,2))</x:f>
      </x:c>
      <x:c r="N205" s="114" t="str">
        <x:f>IF(A205="","",IF(K205&gt;0,ROUND(K205*SETTINGS!$B$8+SETTINGS!$B$9,2),0))</x:f>
      </x:c>
      <x:c r="O205" s="114" t="str">
        <x:f>IF(A205="","",IF(F205="Yes",ROUND(MIN(K205*SETTINGS!$B$13,SETTINGS!$B$14),2),0))</x:f>
      </x:c>
      <x:c r="P205" s="114" t="str">
        <x:f>IF(A205="","",ROUND(K205*SETTINGS!$B$15,2))</x:f>
      </x:c>
      <x:c r="Q205" s="114" t="str">
        <x:f>IF(A205="","",ROUND(SUM(L205:P205)+G205,2))</x:f>
      </x:c>
      <x:c r="R205" s="114" t="str">
        <x:f>IF(A205="","",ROUND(K205-Q205,2))</x:f>
      </x:c>
      <x:c r="S205" s="115" t="str">
        <x:f>IF(OR(A205="",K205=0),"",R205/K205)</x:f>
      </x:c>
      <x:c r="T205" s="116"/>
    </x:row>
  </x:sheetData>
  <x:mergeCells>
    <x:mergeCell ref="A3:T3"/>
  </x:mergeCells>
  <x:conditionalFormatting sqref="R6:R205">
    <x:cfRule type="cellIs" dxfId="0" priority="1" operator="lessThan">
      <x:formula>0</x:formula>
    </x:cfRule>
  </x:conditionalFormatting>
  <x:dataValidations count="1">
    <x:dataValidation type="list" sqref="F6:F205">
      <x:formula1>"No,Yes"</x:formula1>
    </x:dataValidation>
  </x:dataValidations>
  <x:pageMargins left="0.7" right="0.7" top="0.75" bottom="0.75" header="0.3" footer="0.3"/>
  <x:tableParts count="1">
    <x:tablePart xmlns:r="http://schemas.openxmlformats.org/officeDocument/2006/relationships" r:id="R456761d2d04f46b3"/>
  </x:tableParts>
</x:worksheet>
</file>

<file path=xl/worksheets/sheet4.xml><?xml version="1.0" encoding="utf-8"?>
<x:worksheet xmlns:x="http://schemas.openxmlformats.org/spreadsheetml/2006/main">
  <x:sheetPr>
    <x:tabColor rgb="FF17324D"/>
  </x:sheetPr>
  <x:sheetViews>
    <x:sheetView showGridLines="0" workbookViewId="0"/>
  </x:sheetViews>
  <x:sheetFormatPr defaultRowHeight="15"/>
  <x:cols>
    <x:col min="1" max="1" width="26" hidden="0" customWidth="1"/>
    <x:col min="2" max="2" width="18" hidden="0" customWidth="1"/>
    <x:col min="3" max="3" width="4" hidden="0" customWidth="1"/>
    <x:col min="4" max="4" width="29" hidden="0" customWidth="1"/>
    <x:col min="5" max="5" width="18" hidden="0" customWidth="1"/>
    <x:col min="6" max="6" width="14" hidden="0" customWidth="1"/>
    <x:col min="7" max="7" width="14" hidden="0" customWidth="1"/>
    <x:col min="8" max="8" width="14" hidden="0" customWidth="1"/>
  </x:cols>
  <x:sheetData>
    <x:row r="1">
      <x:c r="A1" s="2"/>
      <x:c r="B1" s="2"/>
      <x:c r="C1" s="2"/>
      <x:c r="D1" s="2"/>
      <x:c r="E1" s="2"/>
      <x:c r="F1" s="2"/>
      <x:c r="G1" s="2"/>
      <x:c r="H1" s="2"/>
    </x:row>
    <x:row r="2">
      <x:c r="A2" s="3" t="str">
        <x:v>DASHBOARD — monthly profit after fees</x:v>
      </x:c>
      <x:c r="B2" s="2"/>
      <x:c r="C2" s="2"/>
      <x:c r="D2" s="2"/>
      <x:c r="E2" s="2"/>
      <x:c r="F2" s="2"/>
      <x:c r="G2" s="2"/>
      <x:c r="H2" s="2"/>
    </x:row>
    <x:row r="3">
      <x:c r="A3" s="4"/>
      <x:c r="B3" s="4"/>
      <x:c r="C3" s="4"/>
      <x:c r="D3" s="4"/>
      <x:c r="E3" s="4"/>
      <x:c r="F3" s="4"/>
      <x:c r="G3" s="4"/>
      <x:c r="H3" s="4"/>
    </x:row>
    <x:row r="4">
      <x:c r="A4" s="2"/>
      <x:c r="B4" s="2"/>
      <x:c r="C4" s="2"/>
      <x:c r="D4" s="2"/>
      <x:c r="E4" s="2"/>
      <x:c r="F4" s="2"/>
      <x:c r="G4" s="2"/>
      <x:c r="H4" s="2"/>
    </x:row>
    <x:row r="5">
      <x:c r="A5" s="2" t="str">
        <x:v>Month</x:v>
      </x:c>
      <x:c r="B5" s="140" t="n">
        <x:v>46296.5</x:v>
      </x:c>
      <x:c r="C5" s="2"/>
      <x:c r="D5" s="141" t="str">
        <x:v>Change the month to the first day of any month. Metrics use ORDERS only.</x:v>
      </x:c>
      <x:c r="E5" s="141"/>
      <x:c r="F5" s="141"/>
      <x:c r="G5" s="141"/>
      <x:c r="H5" s="141"/>
    </x:row>
    <x:row r="6">
      <x:c r="A6" s="2"/>
      <x:c r="B6" s="2"/>
      <x:c r="C6" s="2"/>
      <x:c r="D6" s="2"/>
      <x:c r="E6" s="2"/>
      <x:c r="F6" s="2"/>
      <x:c r="G6" s="2"/>
      <x:c r="H6" s="2"/>
    </x:row>
    <x:row r="7">
      <x:c r="A7" s="2"/>
      <x:c r="B7" s="2"/>
      <x:c r="C7" s="2"/>
      <x:c r="D7" s="2"/>
      <x:c r="E7" s="2"/>
      <x:c r="F7" s="2"/>
      <x:c r="G7" s="2"/>
      <x:c r="H7" s="2"/>
    </x:row>
    <x:row r="8">
      <x:c r="A8" s="142" t="str">
        <x:v>Net sales</x:v>
      </x:c>
      <x:c r="B8" s="153" t="n">
        <x:f>SUMIFS(ORDERS!$K$6:$K$205,ORDERS!$A$6:$A$205,"&gt;="&amp;$B$5,ORDERS!$A$6:$A$205,"&lt;"&amp;EDATE($B$5,1))</x:f>
        <x:v>0</x:v>
      </x:c>
      <x:c r="C8" s="2"/>
      <x:c r="D8" s="142" t="str">
        <x:v>Orders</x:v>
      </x:c>
      <x:c r="E8" s="156" t="n">
        <x:f>COUNTIFS(ORDERS!$A$6:$A$205,"&gt;="&amp;$B$5,ORDERS!$A$6:$A$205,"&lt;"&amp;EDATE($B$5,1))</x:f>
        <x:v>0</x:v>
      </x:c>
      <x:c r="F8" s="2"/>
      <x:c r="G8" s="2"/>
      <x:c r="H8" s="2"/>
    </x:row>
    <x:row r="9">
      <x:c r="A9" s="143" t="str">
        <x:v>Total fees</x:v>
      </x:c>
      <x:c r="B9" s="154" t="n">
        <x:f>SUMIFS(ORDERS!$Q$6:$Q$205,ORDERS!$A$6:$A$205,"&gt;="&amp;$B$5,ORDERS!$A$6:$A$205,"&lt;"&amp;EDATE($B$5,1))</x:f>
        <x:v>0</x:v>
      </x:c>
      <x:c r="C9" s="2"/>
      <x:c r="D9" s="143" t="str">
        <x:v>Orders with Offsite Ads</x:v>
      </x:c>
      <x:c r="E9" s="157" t="n">
        <x:f>COUNTIFS(ORDERS!$A$6:$A$205,"&gt;="&amp;$B$5,ORDERS!$A$6:$A$205,"&lt;"&amp;EDATE($B$5,1),ORDERS!$F$6:$F$205,"Yes")</x:f>
        <x:v>0</x:v>
      </x:c>
      <x:c r="F9" s="2"/>
      <x:c r="G9" s="2"/>
      <x:c r="H9" s="2"/>
    </x:row>
    <x:row r="10">
      <x:c r="A10" s="143" t="str">
        <x:v>Net profit</x:v>
      </x:c>
      <x:c r="B10" s="154" t="n">
        <x:f>SUMIFS(ORDERS!$R$6:$R$205,ORDERS!$A$6:$A$205,"&gt;="&amp;$B$5,ORDERS!$A$6:$A$205,"&lt;"&amp;EDATE($B$5,1))</x:f>
        <x:v>0</x:v>
      </x:c>
      <x:c r="C10" s="2"/>
      <x:c r="D10" s="144" t="str">
        <x:v>Offsite share</x:v>
      </x:c>
      <x:c r="E10" s="155" t="str">
        <x:f>IF(E8=0,"",E9/E8)</x:f>
      </x:c>
      <x:c r="F10" s="2"/>
      <x:c r="G10" s="2"/>
      <x:c r="H10" s="2"/>
    </x:row>
    <x:row r="11">
      <x:c r="A11" s="144" t="str">
        <x:v>Margin</x:v>
      </x:c>
      <x:c r="B11" s="155" t="str">
        <x:f>IF(B8=0,"",B10/B8)</x:f>
      </x:c>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6" t="str">
        <x:v>Fee assumptions currently in use</x:v>
      </x:c>
      <x:c r="B14" s="27"/>
      <x:c r="C14" s="27"/>
      <x:c r="D14" s="27"/>
      <x:c r="E14" s="27"/>
      <x:c r="F14" s="27"/>
      <x:c r="G14" s="27"/>
      <x:c r="H14" s="28"/>
    </x:row>
    <x:row r="15">
      <x:c r="A15" s="2"/>
      <x:c r="B15" s="2"/>
      <x:c r="C15" s="2"/>
      <x:c r="D15" s="2"/>
      <x:c r="E15" s="2"/>
      <x:c r="F15" s="2"/>
      <x:c r="G15" s="2"/>
      <x:c r="H15" s="2"/>
    </x:row>
    <x:row r="16">
      <x:c r="A16" s="2" t="str">
        <x:v>Listing fee</x:v>
      </x:c>
      <x:c r="B16" s="120" t="n">
        <x:f>SETTINGS!B6</x:f>
        <x:v>0.2</x:v>
      </x:c>
      <x:c r="C16" s="2"/>
      <x:c r="D16" s="167" t="str">
        <x:v>Check SETTINGS before use. This tracker is an estimate based on the assumptions you enter; it does not replace your Etsy Payment account or an accountant.</x:v>
      </x:c>
      <x:c r="E16" s="168"/>
      <x:c r="F16" s="168"/>
      <x:c r="G16" s="168"/>
      <x:c r="H16" s="169"/>
    </x:row>
    <x:row r="17">
      <x:c r="A17" s="2" t="str">
        <x:v>Transaction fee</x:v>
      </x:c>
      <x:c r="B17" s="158" t="n">
        <x:f>SETTINGS!B7</x:f>
        <x:v>0.065</x:v>
      </x:c>
      <x:c r="C17" s="2"/>
      <x:c r="D17" s="170"/>
      <x:c r="E17" s="68"/>
      <x:c r="F17" s="68"/>
      <x:c r="G17" s="68"/>
      <x:c r="H17" s="171"/>
    </x:row>
    <x:row r="18">
      <x:c r="A18" s="2" t="str">
        <x:v>Payment processing</x:v>
      </x:c>
      <x:c r="B18" s="158" t="n">
        <x:f>SETTINGS!B8</x:f>
        <x:v>0.03</x:v>
      </x:c>
      <x:c r="C18" s="2"/>
      <x:c r="D18" s="170"/>
      <x:c r="E18" s="68"/>
      <x:c r="F18" s="68"/>
      <x:c r="G18" s="68"/>
      <x:c r="H18" s="171"/>
    </x:row>
    <x:row r="19">
      <x:c r="A19" s="2" t="str">
        <x:v>Active Offsite Ads rate</x:v>
      </x:c>
      <x:c r="B19" s="158" t="n">
        <x:f>SETTINGS!B13</x:f>
        <x:v>0.15</x:v>
      </x:c>
      <x:c r="C19" s="2"/>
      <x:c r="D19" s="170"/>
      <x:c r="E19" s="68"/>
      <x:c r="F19" s="68"/>
      <x:c r="G19" s="68"/>
      <x:c r="H19" s="171"/>
    </x:row>
    <x:row r="20">
      <x:c r="A20" s="2" t="str">
        <x:v>Regulatory fee</x:v>
      </x:c>
      <x:c r="B20" s="158" t="n">
        <x:f>SETTINGS!B15</x:f>
        <x:v>0</x:v>
      </x:c>
      <x:c r="C20" s="2"/>
      <x:c r="D20" s="172"/>
      <x:c r="E20" s="173"/>
      <x:c r="F20" s="173"/>
      <x:c r="G20" s="173"/>
      <x:c r="H20" s="174"/>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sheetData>
  <x:mergeCells>
    <x:mergeCell ref="D5:H5"/>
    <x:mergeCell ref="A14:H14"/>
    <x:mergeCell ref="D16:H20"/>
  </x:mergeCells>
  <x:pageMargins left="0.7" right="0.7" top="0.75" bottom="0.75" header="0.3" footer="0.3"/>
</x:worksheet>
</file>

<file path=xl/worksheets/sheet5.xml><?xml version="1.0" encoding="utf-8"?>
<x:worksheet xmlns:x="http://schemas.openxmlformats.org/spreadsheetml/2006/main">
  <x:sheetPr>
    <x:tabColor rgb="FF94A3B8"/>
  </x:sheetPr>
  <x:sheetViews>
    <x:sheetView showGridLines="0" workbookViewId="0">
      <x:pane xSplit="2" ySplit="5" topLeftCell="C6" activePane="bottomRight" state="frozen"/>
    </x:sheetView>
  </x:sheetViews>
  <x:sheetFormatPr defaultRowHeight="15"/>
  <x:cols>
    <x:col min="1" max="1" width="13" hidden="0" customWidth="1"/>
    <x:col min="2" max="2" width="26" hidden="0" customWidth="1"/>
    <x:col min="3" max="3" width="16" hidden="0" customWidth="1"/>
    <x:col min="4" max="4" width="16" hidden="0" customWidth="1"/>
    <x:col min="5" max="5" width="11" hidden="0" customWidth="1"/>
    <x:col min="6" max="6" width="14" hidden="0" customWidth="1"/>
    <x:col min="7" max="7" width="16" hidden="0" customWidth="1"/>
    <x:col min="8" max="8" width="16"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2" hidden="0" customWidth="1"/>
    <x:col min="20" max="20" width="30" hidden="0" customWidth="1"/>
  </x:cols>
  <x:sheetData>
    <x:row r="1">
      <x:c r="A1" s="2"/>
      <x:c r="B1" s="2"/>
      <x:c r="C1" s="2"/>
      <x:c r="D1" s="2"/>
      <x:c r="E1" s="2"/>
      <x:c r="F1" s="2"/>
      <x:c r="G1" s="2"/>
      <x:c r="H1" s="2"/>
      <x:c r="I1" s="2"/>
      <x:c r="J1" s="2"/>
      <x:c r="K1" s="2"/>
      <x:c r="L1" s="2"/>
      <x:c r="M1" s="2"/>
      <x:c r="N1" s="2"/>
      <x:c r="O1" s="2"/>
      <x:c r="P1" s="2"/>
      <x:c r="Q1" s="2"/>
      <x:c r="R1" s="2"/>
      <x:c r="S1" s="2"/>
      <x:c r="T1" s="2"/>
    </x:row>
    <x:row r="2">
      <x:c r="A2" s="3" t="str">
        <x:v>EXAMPLE — eight calculated orders</x:v>
      </x:c>
      <x:c r="B2" s="2"/>
      <x:c r="C2" s="2"/>
      <x:c r="D2" s="2"/>
      <x:c r="E2" s="2"/>
      <x:c r="F2" s="2"/>
      <x:c r="G2" s="2"/>
      <x:c r="H2" s="2"/>
      <x:c r="I2" s="2"/>
      <x:c r="J2" s="2"/>
      <x:c r="K2" s="2"/>
      <x:c r="L2" s="2"/>
      <x:c r="M2" s="2"/>
      <x:c r="N2" s="2"/>
      <x:c r="O2" s="2"/>
      <x:c r="P2" s="2"/>
      <x:c r="Q2" s="2"/>
      <x:c r="R2" s="2"/>
      <x:c r="S2" s="2"/>
      <x:c r="T2" s="2"/>
    </x:row>
    <x:row r="3">
      <x:c r="A3" s="118" t="str">
        <x:v>Read-only examples using the current SETTINGS. Expected net results are documented in product/CHECKS.md.</x:v>
      </x:c>
      <x:c r="B3" s="118"/>
      <x:c r="C3" s="118"/>
      <x:c r="D3" s="118"/>
      <x:c r="E3" s="118"/>
      <x:c r="F3" s="118"/>
      <x:c r="G3" s="118"/>
      <x:c r="H3" s="118"/>
      <x:c r="I3" s="118"/>
      <x:c r="J3" s="118"/>
      <x:c r="K3" s="118"/>
      <x:c r="L3" s="118"/>
      <x:c r="M3" s="118"/>
      <x:c r="N3" s="118"/>
      <x:c r="O3" s="118"/>
      <x:c r="P3" s="118"/>
      <x:c r="Q3" s="118"/>
      <x:c r="R3" s="118"/>
      <x:c r="S3" s="118"/>
      <x:c r="T3" s="118"/>
    </x:row>
    <x:row r="4">
      <x:c r="A4" s="2"/>
      <x:c r="B4" s="2"/>
      <x:c r="C4" s="2"/>
      <x:c r="D4" s="2"/>
      <x:c r="E4" s="2"/>
      <x:c r="F4" s="2"/>
      <x:c r="G4" s="2"/>
      <x:c r="H4" s="2"/>
      <x:c r="I4" s="2"/>
      <x:c r="J4" s="2"/>
      <x:c r="K4" s="2"/>
      <x:c r="L4" s="2"/>
      <x:c r="M4" s="2"/>
      <x:c r="N4" s="2"/>
      <x:c r="O4" s="2"/>
      <x:c r="P4" s="2"/>
      <x:c r="Q4" s="2"/>
      <x:c r="R4" s="2"/>
      <x:c r="S4" s="2"/>
      <x:c r="T4" s="2"/>
    </x:row>
    <x:row r="5" ht="46" customHeight="1">
      <x:c r="A5" s="103" t="str">
        <x:v>Date</x:v>
      </x:c>
      <x:c r="B5" s="104" t="str">
        <x:v>Listing</x:v>
      </x:c>
      <x:c r="C5" s="104" t="str">
        <x:v>Item price</x:v>
      </x:c>
      <x:c r="D5" s="104" t="str">
        <x:v>Shipping charged</x:v>
      </x:c>
      <x:c r="E5" s="104" t="str">
        <x:v>Quantity</x:v>
      </x:c>
      <x:c r="F5" s="104" t="str">
        <x:v>Offsite Ad?</x:v>
      </x:c>
      <x:c r="G5" s="104" t="str">
        <x:v>Etsy Ads spend</x:v>
      </x:c>
      <x:c r="H5" s="104" t="str">
        <x:v>Refund</x:v>
      </x:c>
      <x:c r="I5" s="104" t="str">
        <x:v>Item subtotal</x:v>
      </x:c>
      <x:c r="J5" s="104" t="str">
        <x:v>Order total</x:v>
      </x:c>
      <x:c r="K5" s="104" t="str">
        <x:v>Net sales after refund</x:v>
      </x:c>
      <x:c r="L5" s="104" t="str">
        <x:v>Listing fee</x:v>
      </x:c>
      <x:c r="M5" s="104" t="str">
        <x:v>Transaction fee</x:v>
      </x:c>
      <x:c r="N5" s="104" t="str">
        <x:v>Payment processing</x:v>
      </x:c>
      <x:c r="O5" s="104" t="str">
        <x:v>Offsite Ads fee</x:v>
      </x:c>
      <x:c r="P5" s="104" t="str">
        <x:v>Regulatory fee</x:v>
      </x:c>
      <x:c r="Q5" s="104" t="str">
        <x:v>Total fees</x:v>
      </x:c>
      <x:c r="R5" s="104" t="str">
        <x:v>Net profit</x:v>
      </x:c>
      <x:c r="S5" s="104" t="str">
        <x:v>Margin</x:v>
      </x:c>
      <x:c r="T5" s="104" t="str">
        <x:v>Notes</x:v>
      </x:c>
    </x:row>
    <x:row r="6" ht="23" customHeight="1">
      <x:c r="A6" s="129" t="n">
        <x:v>46268.5</x:v>
      </x:c>
      <x:c r="B6" s="130" t="str">
        <x:v>Ceramic mug</x:v>
      </x:c>
      <x:c r="C6" s="131" t="n">
        <x:v>28</x:v>
      </x:c>
      <x:c r="D6" s="131" t="n">
        <x:v>6</x:v>
      </x:c>
      <x:c r="E6" s="130" t="n">
        <x:v>1</x:v>
      </x:c>
      <x:c r="F6" s="130" t="str">
        <x:v>No</x:v>
      </x:c>
      <x:c r="G6" s="131" t="n">
        <x:v>0</x:v>
      </x:c>
      <x:c r="H6" s="131" t="n">
        <x:v>0</x:v>
      </x:c>
      <x:c r="I6" s="108" t="n">
        <x:f>IF(OR(C6="",E6=""),"",ROUND(C6*E6,2))</x:f>
        <x:v>28</x:v>
      </x:c>
      <x:c r="J6" s="108" t="n">
        <x:f>IF(I6="","",ROUND(I6+D6,2))</x:f>
        <x:v>34</x:v>
      </x:c>
      <x:c r="K6" s="108" t="n">
        <x:f>IF(J6="","",MAX(ROUND(J6-H6,2),0))</x:f>
        <x:v>34</x:v>
      </x:c>
      <x:c r="L6" s="108" t="n">
        <x:f>IF(A6="","",ROUND(E6*SETTINGS!$B$6,2))</x:f>
        <x:v>0.2</x:v>
      </x:c>
      <x:c r="M6" s="108" t="n">
        <x:f>IF(A6="","",ROUND(K6*SETTINGS!$B$7,2))</x:f>
        <x:v>2.21</x:v>
      </x:c>
      <x:c r="N6" s="108" t="n">
        <x:f>IF(A6="","",IF(K6&gt;0,ROUND(K6*SETTINGS!$B$8+SETTINGS!$B$9,2),0))</x:f>
        <x:v>1.27</x:v>
      </x:c>
      <x:c r="O6" s="108" t="n">
        <x:f>IF(A6="","",IF(F6="Yes",ROUND(MIN(K6*SETTINGS!$B$13,SETTINGS!$B$14),2),0))</x:f>
        <x:v>0</x:v>
      </x:c>
      <x:c r="P6" s="108" t="n">
        <x:f>IF(A6="","",ROUND(K6*SETTINGS!$B$15,2))</x:f>
        <x:v>0</x:v>
      </x:c>
      <x:c r="Q6" s="108" t="n">
        <x:f>IF(A6="","",ROUND(SUM(L6:P6)+G6,2))</x:f>
        <x:v>3.68</x:v>
      </x:c>
      <x:c r="R6" s="108" t="n">
        <x:f>IF(A6="","",ROUND(K6-Q6,2))</x:f>
        <x:v>30.32</x:v>
      </x:c>
      <x:c r="S6" s="109" t="n">
        <x:f>IF(OR(A6="",K6=0),"",R6/K6)</x:f>
        <x:v>0.8917647058823529</x:v>
      </x:c>
      <x:c r="T6" s="135" t="str">
        <x:v>Standard order</x:v>
      </x:c>
    </x:row>
    <x:row r="7" ht="23" customHeight="1">
      <x:c r="A7" s="129" t="n">
        <x:v>46270.5</x:v>
      </x:c>
      <x:c r="B7" s="130" t="str">
        <x:v>Wedding template</x:v>
      </x:c>
      <x:c r="C7" s="131" t="n">
        <x:v>18</x:v>
      </x:c>
      <x:c r="D7" s="131" t="n">
        <x:v>0</x:v>
      </x:c>
      <x:c r="E7" s="130" t="n">
        <x:v>2</x:v>
      </x:c>
      <x:c r="F7" s="130" t="str">
        <x:v>Yes</x:v>
      </x:c>
      <x:c r="G7" s="131" t="n">
        <x:v>0</x:v>
      </x:c>
      <x:c r="H7" s="131" t="n">
        <x:v>0</x:v>
      </x:c>
      <x:c r="I7" s="108" t="n">
        <x:f>IF(OR(C7="",E7=""),"",ROUND(C7*E7,2))</x:f>
        <x:v>36</x:v>
      </x:c>
      <x:c r="J7" s="108" t="n">
        <x:f>IF(I7="","",ROUND(I7+D7,2))</x:f>
        <x:v>36</x:v>
      </x:c>
      <x:c r="K7" s="108" t="n">
        <x:f>IF(J7="","",MAX(ROUND(J7-H7,2),0))</x:f>
        <x:v>36</x:v>
      </x:c>
      <x:c r="L7" s="108" t="n">
        <x:f>IF(A7="","",ROUND(E7*SETTINGS!$B$6,2))</x:f>
        <x:v>0.4</x:v>
      </x:c>
      <x:c r="M7" s="108" t="n">
        <x:f>IF(A7="","",ROUND(K7*SETTINGS!$B$7,2))</x:f>
        <x:v>2.34</x:v>
      </x:c>
      <x:c r="N7" s="108" t="n">
        <x:f>IF(A7="","",IF(K7&gt;0,ROUND(K7*SETTINGS!$B$8+SETTINGS!$B$9,2),0))</x:f>
        <x:v>1.33</x:v>
      </x:c>
      <x:c r="O7" s="108" t="n">
        <x:f>IF(A7="","",IF(F7="Yes",ROUND(MIN(K7*SETTINGS!$B$13,SETTINGS!$B$14),2),0))</x:f>
        <x:v>5.4</x:v>
      </x:c>
      <x:c r="P7" s="108" t="n">
        <x:f>IF(A7="","",ROUND(K7*SETTINGS!$B$15,2))</x:f>
        <x:v>0</x:v>
      </x:c>
      <x:c r="Q7" s="108" t="n">
        <x:f>IF(A7="","",ROUND(SUM(L7:P7)+G7,2))</x:f>
        <x:v>9.47</x:v>
      </x:c>
      <x:c r="R7" s="108" t="n">
        <x:f>IF(A7="","",ROUND(K7-Q7,2))</x:f>
        <x:v>26.53</x:v>
      </x:c>
      <x:c r="S7" s="109" t="n">
        <x:f>IF(OR(A7="",K7=0),"",R7/K7)</x:f>
        <x:v>0.7369444444444445</x:v>
      </x:c>
      <x:c r="T7" s="135" t="str">
        <x:v>Two items + Offsite Ad</x:v>
      </x:c>
    </x:row>
    <x:row r="8" ht="23" customHeight="1">
      <x:c r="A8" s="129" t="n">
        <x:v>46273.5</x:v>
      </x:c>
      <x:c r="B8" s="130" t="str">
        <x:v>Silver necklace</x:v>
      </x:c>
      <x:c r="C8" s="131" t="n">
        <x:v>65</x:v>
      </x:c>
      <x:c r="D8" s="131" t="n">
        <x:v>5</x:v>
      </x:c>
      <x:c r="E8" s="130" t="n">
        <x:v>1</x:v>
      </x:c>
      <x:c r="F8" s="130" t="str">
        <x:v>Yes</x:v>
      </x:c>
      <x:c r="G8" s="131" t="n">
        <x:v>4.5</x:v>
      </x:c>
      <x:c r="H8" s="131" t="n">
        <x:v>0</x:v>
      </x:c>
      <x:c r="I8" s="108" t="n">
        <x:f>IF(OR(C8="",E8=""),"",ROUND(C8*E8,2))</x:f>
        <x:v>65</x:v>
      </x:c>
      <x:c r="J8" s="108" t="n">
        <x:f>IF(I8="","",ROUND(I8+D8,2))</x:f>
        <x:v>70</x:v>
      </x:c>
      <x:c r="K8" s="108" t="n">
        <x:f>IF(J8="","",MAX(ROUND(J8-H8,2),0))</x:f>
        <x:v>70</x:v>
      </x:c>
      <x:c r="L8" s="108" t="n">
        <x:f>IF(A8="","",ROUND(E8*SETTINGS!$B$6,2))</x:f>
        <x:v>0.2</x:v>
      </x:c>
      <x:c r="M8" s="108" t="n">
        <x:f>IF(A8="","",ROUND(K8*SETTINGS!$B$7,2))</x:f>
        <x:v>4.55</x:v>
      </x:c>
      <x:c r="N8" s="108" t="n">
        <x:f>IF(A8="","",IF(K8&gt;0,ROUND(K8*SETTINGS!$B$8+SETTINGS!$B$9,2),0))</x:f>
        <x:v>2.35</x:v>
      </x:c>
      <x:c r="O8" s="108" t="n">
        <x:f>IF(A8="","",IF(F8="Yes",ROUND(MIN(K8*SETTINGS!$B$13,SETTINGS!$B$14),2),0))</x:f>
        <x:v>10.5</x:v>
      </x:c>
      <x:c r="P8" s="108" t="n">
        <x:f>IF(A8="","",ROUND(K8*SETTINGS!$B$15,2))</x:f>
        <x:v>0</x:v>
      </x:c>
      <x:c r="Q8" s="108" t="n">
        <x:f>IF(A8="","",ROUND(SUM(L8:P8)+G8,2))</x:f>
        <x:v>22.1</x:v>
      </x:c>
      <x:c r="R8" s="108" t="n">
        <x:f>IF(A8="","",ROUND(K8-Q8,2))</x:f>
        <x:v>47.9</x:v>
      </x:c>
      <x:c r="S8" s="109" t="n">
        <x:f>IF(OR(A8="",K8=0),"",R8/K8)</x:f>
        <x:v>0.6842857142857143</x:v>
      </x:c>
      <x:c r="T8" s="135" t="str">
        <x:v>Offsite Ad + manual Etsy Ads</x:v>
      </x:c>
    </x:row>
    <x:row r="9" ht="23" customHeight="1">
      <x:c r="A9" s="129" t="n">
        <x:v>46277.5</x:v>
      </x:c>
      <x:c r="B9" s="130" t="str">
        <x:v>Printable planner</x:v>
      </x:c>
      <x:c r="C9" s="131" t="n">
        <x:v>12</x:v>
      </x:c>
      <x:c r="D9" s="131" t="n">
        <x:v>0</x:v>
      </x:c>
      <x:c r="E9" s="130" t="n">
        <x:v>1</x:v>
      </x:c>
      <x:c r="F9" s="130" t="str">
        <x:v>No</x:v>
      </x:c>
      <x:c r="G9" s="131" t="n">
        <x:v>3</x:v>
      </x:c>
      <x:c r="H9" s="131" t="n">
        <x:v>0</x:v>
      </x:c>
      <x:c r="I9" s="108" t="n">
        <x:f>IF(OR(C9="",E9=""),"",ROUND(C9*E9,2))</x:f>
        <x:v>12</x:v>
      </x:c>
      <x:c r="J9" s="108" t="n">
        <x:f>IF(I9="","",ROUND(I9+D9,2))</x:f>
        <x:v>12</x:v>
      </x:c>
      <x:c r="K9" s="108" t="n">
        <x:f>IF(J9="","",MAX(ROUND(J9-H9,2),0))</x:f>
        <x:v>12</x:v>
      </x:c>
      <x:c r="L9" s="108" t="n">
        <x:f>IF(A9="","",ROUND(E9*SETTINGS!$B$6,2))</x:f>
        <x:v>0.2</x:v>
      </x:c>
      <x:c r="M9" s="108" t="n">
        <x:f>IF(A9="","",ROUND(K9*SETTINGS!$B$7,2))</x:f>
        <x:v>0.78</x:v>
      </x:c>
      <x:c r="N9" s="108" t="n">
        <x:f>IF(A9="","",IF(K9&gt;0,ROUND(K9*SETTINGS!$B$8+SETTINGS!$B$9,2),0))</x:f>
        <x:v>0.61</x:v>
      </x:c>
      <x:c r="O9" s="108" t="n">
        <x:f>IF(A9="","",IF(F9="Yes",ROUND(MIN(K9*SETTINGS!$B$13,SETTINGS!$B$14),2),0))</x:f>
        <x:v>0</x:v>
      </x:c>
      <x:c r="P9" s="108" t="n">
        <x:f>IF(A9="","",ROUND(K9*SETTINGS!$B$15,2))</x:f>
        <x:v>0</x:v>
      </x:c>
      <x:c r="Q9" s="108" t="n">
        <x:f>IF(A9="","",ROUND(SUM(L9:P9)+G9,2))</x:f>
        <x:v>4.59</x:v>
      </x:c>
      <x:c r="R9" s="108" t="n">
        <x:f>IF(A9="","",ROUND(K9-Q9,2))</x:f>
        <x:v>7.41</x:v>
      </x:c>
      <x:c r="S9" s="109" t="n">
        <x:f>IF(OR(A9="",K9=0),"",R9/K9)</x:f>
        <x:v>0.6175</x:v>
      </x:c>
      <x:c r="T9" s="135" t="str">
        <x:v>Manual Etsy Ads cost</x:v>
      </x:c>
    </x:row>
    <x:row r="10" ht="23" customHeight="1">
      <x:c r="A10" s="129" t="n">
        <x:v>46280.5</x:v>
      </x:c>
      <x:c r="B10" s="130" t="str">
        <x:v>Candle set</x:v>
      </x:c>
      <x:c r="C10" s="131" t="n">
        <x:v>24</x:v>
      </x:c>
      <x:c r="D10" s="131" t="n">
        <x:v>8</x:v>
      </x:c>
      <x:c r="E10" s="130" t="n">
        <x:v>3</x:v>
      </x:c>
      <x:c r="F10" s="130" t="str">
        <x:v>No</x:v>
      </x:c>
      <x:c r="G10" s="131" t="n">
        <x:v>0</x:v>
      </x:c>
      <x:c r="H10" s="131" t="n">
        <x:v>20</x:v>
      </x:c>
      <x:c r="I10" s="108" t="n">
        <x:f>IF(OR(C10="",E10=""),"",ROUND(C10*E10,2))</x:f>
        <x:v>72</x:v>
      </x:c>
      <x:c r="J10" s="108" t="n">
        <x:f>IF(I10="","",ROUND(I10+D10,2))</x:f>
        <x:v>80</x:v>
      </x:c>
      <x:c r="K10" s="108" t="n">
        <x:f>IF(J10="","",MAX(ROUND(J10-H10,2),0))</x:f>
        <x:v>60</x:v>
      </x:c>
      <x:c r="L10" s="108" t="n">
        <x:f>IF(A10="","",ROUND(E10*SETTINGS!$B$6,2))</x:f>
        <x:v>0.6</x:v>
      </x:c>
      <x:c r="M10" s="108" t="n">
        <x:f>IF(A10="","",ROUND(K10*SETTINGS!$B$7,2))</x:f>
        <x:v>3.9</x:v>
      </x:c>
      <x:c r="N10" s="108" t="n">
        <x:f>IF(A10="","",IF(K10&gt;0,ROUND(K10*SETTINGS!$B$8+SETTINGS!$B$9,2),0))</x:f>
        <x:v>2.05</x:v>
      </x:c>
      <x:c r="O10" s="108" t="n">
        <x:f>IF(A10="","",IF(F10="Yes",ROUND(MIN(K10*SETTINGS!$B$13,SETTINGS!$B$14),2),0))</x:f>
        <x:v>0</x:v>
      </x:c>
      <x:c r="P10" s="108" t="n">
        <x:f>IF(A10="","",ROUND(K10*SETTINGS!$B$15,2))</x:f>
        <x:v>0</x:v>
      </x:c>
      <x:c r="Q10" s="108" t="n">
        <x:f>IF(A10="","",ROUND(SUM(L10:P10)+G10,2))</x:f>
        <x:v>6.55</x:v>
      </x:c>
      <x:c r="R10" s="108" t="n">
        <x:f>IF(A10="","",ROUND(K10-Q10,2))</x:f>
        <x:v>53.45</x:v>
      </x:c>
      <x:c r="S10" s="109" t="n">
        <x:f>IF(OR(A10="",K10=0),"",R10/K10)</x:f>
        <x:v>0.8908333333333334</x:v>
      </x:c>
      <x:c r="T10" s="135" t="str">
        <x:v>Partial refund</x:v>
      </x:c>
    </x:row>
    <x:row r="11" ht="23" customHeight="1">
      <x:c r="A11" s="129" t="n">
        <x:v>46283.5</x:v>
      </x:c>
      <x:c r="B11" s="130" t="str">
        <x:v>Knit pattern</x:v>
      </x:c>
      <x:c r="C11" s="131" t="n">
        <x:v>7.5</x:v>
      </x:c>
      <x:c r="D11" s="131" t="n">
        <x:v>0</x:v>
      </x:c>
      <x:c r="E11" s="130" t="n">
        <x:v>4</x:v>
      </x:c>
      <x:c r="F11" s="130" t="str">
        <x:v>Yes</x:v>
      </x:c>
      <x:c r="G11" s="131" t="n">
        <x:v>0</x:v>
      </x:c>
      <x:c r="H11" s="131" t="n">
        <x:v>0</x:v>
      </x:c>
      <x:c r="I11" s="108" t="n">
        <x:f>IF(OR(C11="",E11=""),"",ROUND(C11*E11,2))</x:f>
        <x:v>30</x:v>
      </x:c>
      <x:c r="J11" s="108" t="n">
        <x:f>IF(I11="","",ROUND(I11+D11,2))</x:f>
        <x:v>30</x:v>
      </x:c>
      <x:c r="K11" s="108" t="n">
        <x:f>IF(J11="","",MAX(ROUND(J11-H11,2),0))</x:f>
        <x:v>30</x:v>
      </x:c>
      <x:c r="L11" s="108" t="n">
        <x:f>IF(A11="","",ROUND(E11*SETTINGS!$B$6,2))</x:f>
        <x:v>0.8</x:v>
      </x:c>
      <x:c r="M11" s="108" t="n">
        <x:f>IF(A11="","",ROUND(K11*SETTINGS!$B$7,2))</x:f>
        <x:v>1.95</x:v>
      </x:c>
      <x:c r="N11" s="108" t="n">
        <x:f>IF(A11="","",IF(K11&gt;0,ROUND(K11*SETTINGS!$B$8+SETTINGS!$B$9,2),0))</x:f>
        <x:v>1.15</x:v>
      </x:c>
      <x:c r="O11" s="108" t="n">
        <x:f>IF(A11="","",IF(F11="Yes",ROUND(MIN(K11*SETTINGS!$B$13,SETTINGS!$B$14),2),0))</x:f>
        <x:v>4.5</x:v>
      </x:c>
      <x:c r="P11" s="108" t="n">
        <x:f>IF(A11="","",ROUND(K11*SETTINGS!$B$15,2))</x:f>
        <x:v>0</x:v>
      </x:c>
      <x:c r="Q11" s="108" t="n">
        <x:f>IF(A11="","",ROUND(SUM(L11:P11)+G11,2))</x:f>
        <x:v>8.4</x:v>
      </x:c>
      <x:c r="R11" s="108" t="n">
        <x:f>IF(A11="","",ROUND(K11-Q11,2))</x:f>
        <x:v>21.6</x:v>
      </x:c>
      <x:c r="S11" s="109" t="n">
        <x:f>IF(OR(A11="",K11=0),"",R11/K11)</x:f>
        <x:v>0.7200000000000001</x:v>
      </x:c>
      <x:c r="T11" s="135" t="str">
        <x:v>Four items + Offsite Ad</x:v>
      </x:c>
    </x:row>
    <x:row r="12" ht="23" customHeight="1">
      <x:c r="A12" s="129" t="n">
        <x:v>46286.5</x:v>
      </x:c>
      <x:c r="B12" s="130" t="str">
        <x:v>Wall art</x:v>
      </x:c>
      <x:c r="C12" s="131" t="n">
        <x:v>45</x:v>
      </x:c>
      <x:c r="D12" s="131" t="n">
        <x:v>0</x:v>
      </x:c>
      <x:c r="E12" s="130" t="n">
        <x:v>1</x:v>
      </x:c>
      <x:c r="F12" s="130" t="str">
        <x:v>No</x:v>
      </x:c>
      <x:c r="G12" s="131" t="n">
        <x:v>2.25</x:v>
      </x:c>
      <x:c r="H12" s="131" t="n">
        <x:v>45</x:v>
      </x:c>
      <x:c r="I12" s="108" t="n">
        <x:f>IF(OR(C12="",E12=""),"",ROUND(C12*E12,2))</x:f>
        <x:v>45</x:v>
      </x:c>
      <x:c r="J12" s="108" t="n">
        <x:f>IF(I12="","",ROUND(I12+D12,2))</x:f>
        <x:v>45</x:v>
      </x:c>
      <x:c r="K12" s="108" t="n">
        <x:f>IF(J12="","",MAX(ROUND(J12-H12,2),0))</x:f>
        <x:v>0</x:v>
      </x:c>
      <x:c r="L12" s="108" t="n">
        <x:f>IF(A12="","",ROUND(E12*SETTINGS!$B$6,2))</x:f>
        <x:v>0.2</x:v>
      </x:c>
      <x:c r="M12" s="108" t="n">
        <x:f>IF(A12="","",ROUND(K12*SETTINGS!$B$7,2))</x:f>
        <x:v>0</x:v>
      </x:c>
      <x:c r="N12" s="108" t="n">
        <x:f>IF(A12="","",IF(K12&gt;0,ROUND(K12*SETTINGS!$B$8+SETTINGS!$B$9,2),0))</x:f>
        <x:v>0</x:v>
      </x:c>
      <x:c r="O12" s="108" t="n">
        <x:f>IF(A12="","",IF(F12="Yes",ROUND(MIN(K12*SETTINGS!$B$13,SETTINGS!$B$14),2),0))</x:f>
        <x:v>0</x:v>
      </x:c>
      <x:c r="P12" s="108" t="n">
        <x:f>IF(A12="","",ROUND(K12*SETTINGS!$B$15,2))</x:f>
        <x:v>0</x:v>
      </x:c>
      <x:c r="Q12" s="108" t="n">
        <x:f>IF(A12="","",ROUND(SUM(L12:P12)+G12,2))</x:f>
        <x:v>2.45</x:v>
      </x:c>
      <x:c r="R12" s="108" t="n">
        <x:f>IF(A12="","",ROUND(K12-Q12,2))</x:f>
        <x:v>-2.45</x:v>
      </x:c>
      <x:c r="S12" s="109" t="str">
        <x:f>IF(OR(A12="",K12=0),"",R12/K12)</x:f>
      </x:c>
      <x:c r="T12" s="135" t="str">
        <x:v>Full refund; ad spend remains</x:v>
      </x:c>
    </x:row>
    <x:row r="13" ht="23" customHeight="1">
      <x:c r="A13" s="132" t="n">
        <x:v>46289.5</x:v>
      </x:c>
      <x:c r="B13" s="133" t="str">
        <x:v>Leather journal</x:v>
      </x:c>
      <x:c r="C13" s="134" t="n">
        <x:v>38</x:v>
      </x:c>
      <x:c r="D13" s="134" t="n">
        <x:v>7</x:v>
      </x:c>
      <x:c r="E13" s="133" t="n">
        <x:v>2</x:v>
      </x:c>
      <x:c r="F13" s="133" t="str">
        <x:v>Yes</x:v>
      </x:c>
      <x:c r="G13" s="134" t="n">
        <x:v>1.5</x:v>
      </x:c>
      <x:c r="H13" s="134" t="n">
        <x:v>10</x:v>
      </x:c>
      <x:c r="I13" s="114" t="n">
        <x:f>IF(OR(C13="",E13=""),"",ROUND(C13*E13,2))</x:f>
        <x:v>76</x:v>
      </x:c>
      <x:c r="J13" s="114" t="n">
        <x:f>IF(I13="","",ROUND(I13+D13,2))</x:f>
        <x:v>83</x:v>
      </x:c>
      <x:c r="K13" s="114" t="n">
        <x:f>IF(J13="","",MAX(ROUND(J13-H13,2),0))</x:f>
        <x:v>73</x:v>
      </x:c>
      <x:c r="L13" s="114" t="n">
        <x:f>IF(A13="","",ROUND(E13*SETTINGS!$B$6,2))</x:f>
        <x:v>0.4</x:v>
      </x:c>
      <x:c r="M13" s="114" t="n">
        <x:f>IF(A13="","",ROUND(K13*SETTINGS!$B$7,2))</x:f>
        <x:v>4.75</x:v>
      </x:c>
      <x:c r="N13" s="114" t="n">
        <x:f>IF(A13="","",IF(K13&gt;0,ROUND(K13*SETTINGS!$B$8+SETTINGS!$B$9,2),0))</x:f>
        <x:v>2.44</x:v>
      </x:c>
      <x:c r="O13" s="114" t="n">
        <x:f>IF(A13="","",IF(F13="Yes",ROUND(MIN(K13*SETTINGS!$B$13,SETTINGS!$B$14),2),0))</x:f>
        <x:v>10.95</x:v>
      </x:c>
      <x:c r="P13" s="114" t="n">
        <x:f>IF(A13="","",ROUND(K13*SETTINGS!$B$15,2))</x:f>
        <x:v>0</x:v>
      </x:c>
      <x:c r="Q13" s="114" t="n">
        <x:f>IF(A13="","",ROUND(SUM(L13:P13)+G13,2))</x:f>
        <x:v>20.04</x:v>
      </x:c>
      <x:c r="R13" s="114" t="n">
        <x:f>IF(A13="","",ROUND(K13-Q13,2))</x:f>
        <x:v>52.96</x:v>
      </x:c>
      <x:c r="S13" s="115" t="n">
        <x:f>IF(OR(A13="",K13=0),"",R13/K13)</x:f>
        <x:v>0.7254794520547946</x:v>
      </x:c>
      <x:c r="T13" s="136" t="str">
        <x:v>Shipping, refund, and Offsite Ad</x:v>
      </x:c>
    </x:row>
  </x:sheetData>
  <x:mergeCells>
    <x:mergeCell ref="A3:T3"/>
  </x:mergeCells>
  <x:conditionalFormatting sqref="R6:R13">
    <x:cfRule type="cellIs" dxfId="1" priority="1" operator="lessThan">
      <x:formula>0</x:formula>
    </x:cfRule>
  </x:conditionalFormatting>
  <x:dataValidations count="1">
    <x:dataValidation type="list" sqref="F6:F13">
      <x:formula1>"No,Yes"</x:formula1>
    </x:dataValidation>
  </x:dataValidations>
  <x:pageMargins left="0.7" right="0.7" top="0.75" bottom="0.75" header="0.3" footer="0.3"/>
  <x:tableParts count="1">
    <x:tablePart xmlns:r="http://schemas.openxmlformats.org/officeDocument/2006/relationships" r:id="R5f642a908d0f40bb"/>
  </x:tableParts>
</x:worksheet>
</file>